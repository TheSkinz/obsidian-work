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6" customWidth="1" min="9" max="9"/>
    <col width="14" customWidth="1" min="10" max="10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  <c r="I4" s="3" t="inlineStr">
        <is>
          <t>Cost - new pigs (USD)</t>
        </is>
      </c>
      <c r="J4" s="3" t="inlineStr">
        <is>
          <t>New pigs with no rate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  <c r="I5" s="4">
        <f>'Crude'!L31</f>
        <v/>
      </c>
      <c r="J5">
        <f>'Crude'!D32</f>
        <v/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  <c r="I6" s="4">
        <f>'HDS'!L12</f>
        <v/>
      </c>
      <c r="J6">
        <f>'HDS'!D13</f>
        <v/>
      </c>
    </row>
    <row r="7">
      <c r="A7" t="inlineStr">
        <is>
          <t>Coker PR-170002</t>
        </is>
      </c>
      <c r="B7" t="n">
        <v>197</v>
      </c>
      <c r="C7" t="n">
        <v>131</v>
      </c>
      <c r="D7" t="n">
        <v>66</v>
      </c>
      <c r="E7" t="n">
        <v>13</v>
      </c>
      <c r="F7" t="n">
        <v>118</v>
      </c>
      <c r="G7" t="n">
        <v>41</v>
      </c>
      <c r="H7" t="n">
        <v>25</v>
      </c>
      <c r="I7" s="4">
        <f>'Coker'!L48</f>
        <v/>
      </c>
      <c r="J7">
        <f>'Coker'!D49</f>
        <v/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  <c r="I8" s="4">
        <f>'Vac'!L39</f>
        <v/>
      </c>
      <c r="J8">
        <f>'Vac'!D40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6">
        <f>SUM(I5:I8)</f>
        <v/>
      </c>
      <c r="J9" s="5">
        <f>SUM(J5:J8)</f>
        <v/>
      </c>
    </row>
    <row r="11" ht="60" customHeight="1">
      <c r="A11" s="2" t="inlineStr">
        <is>
          <t>Costing: New pigs only; used pigs are not costed (Jesse, 2026-10-02). Rates are from pigs.xlsx for the same size and type. Any pig without its own rate is priced as Pin (Jesse, 2026-10-02: "Unrated are priced as PIN"); foams use the Gauge Foam list and swabs the Swab list. A size not on the list rounds UP to the next listed size (Jesse, 2026-10-02). Only illegible sizes and sizes above the largest listed one stay unpriced.</t>
        </is>
      </c>
    </row>
  </sheetData>
  <mergeCells count="2">
    <mergeCell ref="A2:H2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  <c r="J3" s="4" t="n">
        <v>118</v>
      </c>
      <c r="K3" t="inlineStr">
        <is>
          <t>rounded up to 6" Pin (priced as Pin)</t>
        </is>
      </c>
      <c r="L3" s="4">
        <f>IF(J3="","",D3*J3)</f>
        <v/>
      </c>
    </row>
    <row r="4">
      <c r="A4" s="8" t="inlineStr">
        <is>
          <t>5.875"</t>
        </is>
      </c>
      <c r="B4" s="8" t="inlineStr">
        <is>
          <t>HR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118</v>
      </c>
      <c r="K4" s="8" t="inlineStr">
        <is>
          <t>rounded up to 6" Pin (priced as Pin)</t>
        </is>
      </c>
      <c r="L4" s="9">
        <f>IF(J4="","",D4*J4)</f>
        <v/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  <c r="J5" s="4" t="n">
        <v>118</v>
      </c>
      <c r="K5" t="inlineStr">
        <is>
          <t>priced as Pin, same size</t>
        </is>
      </c>
      <c r="L5" s="4">
        <f>IF(J5="","",D5*J5)</f>
        <v/>
      </c>
    </row>
    <row r="6">
      <c r="A6" s="8" t="inlineStr">
        <is>
          <t>6"</t>
        </is>
      </c>
      <c r="B6" s="8" t="inlineStr">
        <is>
          <t>Foam</t>
        </is>
      </c>
      <c r="C6" s="8" t="n">
        <v>4</v>
      </c>
      <c r="D6" s="8" t="n">
        <v>3</v>
      </c>
      <c r="E6" s="8" t="n">
        <v>1</v>
      </c>
      <c r="F6" s="8" t="n">
        <v>0</v>
      </c>
      <c r="G6" s="8" t="n">
        <v>3</v>
      </c>
      <c r="H6" s="8" t="n">
        <v>1</v>
      </c>
      <c r="I6" s="8" t="n">
        <v>0</v>
      </c>
      <c r="J6" s="9" t="n">
        <v>49.6</v>
      </c>
      <c r="K6" s="8" t="inlineStr">
        <is>
          <t>pigs.xlsx (Gauge Foam rate)</t>
        </is>
      </c>
      <c r="L6" s="9">
        <f>IF(J6="","",D6*J6)</f>
        <v/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  <c r="J7" s="4" t="n">
        <v>49.6</v>
      </c>
      <c r="K7" t="inlineStr">
        <is>
          <t>pigs.xlsx</t>
        </is>
      </c>
      <c r="L7" s="4">
        <f>IF(J7="","",D7*J7)</f>
        <v/>
      </c>
    </row>
    <row r="8">
      <c r="A8" s="8" t="inlineStr">
        <is>
          <t>6"</t>
        </is>
      </c>
      <c r="B8" s="8" t="inlineStr">
        <is>
          <t>Other / unclear</t>
        </is>
      </c>
      <c r="C8" s="8" t="n">
        <v>1</v>
      </c>
      <c r="D8" s="8" t="n">
        <v>0</v>
      </c>
      <c r="E8" s="8" t="n">
        <v>1</v>
      </c>
      <c r="F8" s="8" t="n">
        <v>0</v>
      </c>
      <c r="G8" s="8" t="n">
        <v>0</v>
      </c>
      <c r="H8" s="8" t="n">
        <v>1</v>
      </c>
      <c r="I8" s="8" t="n">
        <v>0</v>
      </c>
      <c r="J8" s="9" t="n">
        <v>118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  <c r="J9" s="4" t="n">
        <v>118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6.125"</t>
        </is>
      </c>
      <c r="B10" s="8" t="inlineStr">
        <is>
          <t>HR</t>
        </is>
      </c>
      <c r="C10" s="8" t="n">
        <v>1</v>
      </c>
      <c r="D10" s="8" t="n">
        <v>1</v>
      </c>
      <c r="E10" s="8" t="n">
        <v>0</v>
      </c>
      <c r="F10" s="8" t="n">
        <v>0</v>
      </c>
      <c r="G10" s="8" t="n">
        <v>1</v>
      </c>
      <c r="H10" s="8" t="n">
        <v>0</v>
      </c>
      <c r="I10" s="8" t="n">
        <v>0</v>
      </c>
      <c r="J10" s="9" t="n">
        <v>129.8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  <c r="J11" s="4" t="n">
        <v>129.8</v>
      </c>
      <c r="K11" t="inlineStr">
        <is>
          <t>pigs.xlsx</t>
        </is>
      </c>
      <c r="L11" s="4">
        <f>IF(J11="","",D11*J11)</f>
        <v/>
      </c>
    </row>
    <row r="12">
      <c r="A12" s="8" t="inlineStr">
        <is>
          <t>6.25"</t>
        </is>
      </c>
      <c r="B12" s="8" t="inlineStr">
        <is>
          <t>FMJ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2</v>
      </c>
      <c r="H12" s="8" t="n">
        <v>0</v>
      </c>
      <c r="I12" s="8" t="n">
        <v>0</v>
      </c>
      <c r="J12" s="9" t="n">
        <v>129.8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  <c r="J13" s="4" t="n">
        <v>129.8</v>
      </c>
      <c r="K13" t="inlineStr">
        <is>
          <t>priced as Pin, same size</t>
        </is>
      </c>
      <c r="L13" s="4">
        <f>IF(J13="","",D13*J13)</f>
        <v/>
      </c>
    </row>
    <row r="14">
      <c r="A14" s="8" t="inlineStr">
        <is>
          <t>6.25"</t>
        </is>
      </c>
      <c r="B14" s="8" t="inlineStr">
        <is>
          <t>Pin / TC / PPS</t>
        </is>
      </c>
      <c r="C14" s="8" t="n">
        <v>34</v>
      </c>
      <c r="D14" s="8" t="n">
        <v>16</v>
      </c>
      <c r="E14" s="8" t="n">
        <v>18</v>
      </c>
      <c r="F14" s="8" t="n">
        <v>0</v>
      </c>
      <c r="G14" s="8" t="n">
        <v>16</v>
      </c>
      <c r="H14" s="8" t="n">
        <v>18</v>
      </c>
      <c r="I14" s="8" t="n">
        <v>0</v>
      </c>
      <c r="J14" s="9" t="n">
        <v>129.8</v>
      </c>
      <c r="K14" s="8" t="inlineStr">
        <is>
          <t>pigs.xlsx</t>
        </is>
      </c>
      <c r="L14" s="9">
        <f>IF(J14="","",D14*J14)</f>
        <v/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  <c r="J15" s="4" t="n">
        <v>182.9</v>
      </c>
      <c r="K15" t="inlineStr">
        <is>
          <t>rounded up to 7.25" Pin (priced as Pin)</t>
        </is>
      </c>
      <c r="L15" s="4">
        <f>IF(J15="","",D15*J15)</f>
        <v/>
      </c>
    </row>
    <row r="16">
      <c r="A16" s="8" t="inlineStr">
        <is>
          <t>7.75"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230.1</v>
      </c>
      <c r="K16" s="8" t="inlineStr">
        <is>
          <t>rounded up to 8" Pin (priced as Pin)</t>
        </is>
      </c>
      <c r="L16" s="9">
        <f>IF(J16="","",D16*J16)</f>
        <v/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  <c r="J17" s="4" t="n">
        <v>230.1</v>
      </c>
      <c r="K17" t="inlineStr">
        <is>
          <t>rounded up to 8" Pin (priced as Pin)</t>
        </is>
      </c>
      <c r="L17" s="4">
        <f>IF(J17="","",D17*J17)</f>
        <v/>
      </c>
    </row>
    <row r="18">
      <c r="A18" s="8" t="inlineStr">
        <is>
          <t>7.75"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9" t="n">
        <v>230.1</v>
      </c>
      <c r="K18" s="8" t="inlineStr">
        <is>
          <t>rounded up to 8" Pin</t>
        </is>
      </c>
      <c r="L18" s="9">
        <f>IF(J18="","",D18*J18)</f>
        <v/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  <c r="J19" s="4" t="n">
        <v>230.1</v>
      </c>
      <c r="K19" t="inlineStr">
        <is>
          <t>pigs.xlsx</t>
        </is>
      </c>
      <c r="L19" s="4">
        <f>IF(J19="","",D19*J19)</f>
        <v/>
      </c>
    </row>
    <row r="20">
      <c r="A20" s="8" t="inlineStr">
        <is>
          <t>8"</t>
        </is>
      </c>
      <c r="B20" s="8" t="inlineStr">
        <is>
          <t>FMJ</t>
        </is>
      </c>
      <c r="C20" s="8" t="n">
        <v>1</v>
      </c>
      <c r="D20" s="8" t="n">
        <v>1</v>
      </c>
      <c r="E20" s="8" t="n">
        <v>0</v>
      </c>
      <c r="F20" s="8" t="n">
        <v>0</v>
      </c>
      <c r="G20" s="8" t="n">
        <v>1</v>
      </c>
      <c r="H20" s="8" t="n">
        <v>0</v>
      </c>
      <c r="I20" s="8" t="n">
        <v>0</v>
      </c>
      <c r="J20" s="9" t="n">
        <v>230.1</v>
      </c>
      <c r="K20" s="8" t="inlineStr">
        <is>
          <t>priced as Pin, same size</t>
        </is>
      </c>
      <c r="L20" s="9">
        <f>IF(J20="","",D20*J20)</f>
        <v/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  <c r="J21" s="4" t="n">
        <v>230.1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8"</t>
        </is>
      </c>
      <c r="B22" s="8" t="inlineStr">
        <is>
          <t>Pin / TC / PPS</t>
        </is>
      </c>
      <c r="C22" s="8" t="n">
        <v>10</v>
      </c>
      <c r="D22" s="8" t="n">
        <v>5</v>
      </c>
      <c r="E22" s="8" t="n">
        <v>5</v>
      </c>
      <c r="F22" s="8" t="n">
        <v>0</v>
      </c>
      <c r="G22" s="8" t="n">
        <v>5</v>
      </c>
      <c r="H22" s="8" t="n">
        <v>5</v>
      </c>
      <c r="I22" s="8" t="n">
        <v>0</v>
      </c>
      <c r="J22" s="9" t="n">
        <v>230.1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  <c r="J23" s="4" t="n">
        <v>247.8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8.25"</t>
        </is>
      </c>
      <c r="B24" s="8" t="inlineStr">
        <is>
          <t>FMJ</t>
        </is>
      </c>
      <c r="C24" s="8" t="n">
        <v>6</v>
      </c>
      <c r="D24" s="8" t="n">
        <v>6</v>
      </c>
      <c r="E24" s="8" t="n">
        <v>0</v>
      </c>
      <c r="F24" s="8" t="n">
        <v>0</v>
      </c>
      <c r="G24" s="8" t="n">
        <v>6</v>
      </c>
      <c r="H24" s="8" t="n">
        <v>0</v>
      </c>
      <c r="I24" s="8" t="n">
        <v>0</v>
      </c>
      <c r="J24" s="9" t="n">
        <v>247.8</v>
      </c>
      <c r="K24" s="8" t="inlineStr">
        <is>
          <t>priced as Pin, same size</t>
        </is>
      </c>
      <c r="L24" s="9">
        <f>IF(J24="","",D24*J24)</f>
        <v/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  <c r="J25" s="4" t="n"/>
      <c r="K25" t="inlineStr">
        <is>
          <t>no rate (above the largest listed gauge foam)</t>
        </is>
      </c>
      <c r="L25" s="4">
        <f>IF(J25="","",D25*J25)</f>
        <v/>
      </c>
    </row>
    <row r="26">
      <c r="A26" s="8" t="inlineStr">
        <is>
          <t>8.25"</t>
        </is>
      </c>
      <c r="B26" s="8" t="inlineStr">
        <is>
          <t>Other / unclear</t>
        </is>
      </c>
      <c r="C26" s="8" t="n">
        <v>6</v>
      </c>
      <c r="D26" s="8" t="n">
        <v>3</v>
      </c>
      <c r="E26" s="8" t="n">
        <v>3</v>
      </c>
      <c r="F26" s="8" t="n">
        <v>1</v>
      </c>
      <c r="G26" s="8" t="n">
        <v>2</v>
      </c>
      <c r="H26" s="8" t="n">
        <v>3</v>
      </c>
      <c r="I26" s="8" t="n">
        <v>0</v>
      </c>
      <c r="J26" s="9" t="n">
        <v>247.8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  <c r="J27" s="4" t="n">
        <v>247.8</v>
      </c>
      <c r="K27" t="inlineStr">
        <is>
          <t>pigs.xlsx</t>
        </is>
      </c>
      <c r="L27" s="4">
        <f>IF(J27="","",D27*J27)</f>
        <v/>
      </c>
    </row>
    <row r="28">
      <c r="A28" s="8" t="inlineStr">
        <is>
          <t>8.5"</t>
        </is>
      </c>
      <c r="B28" s="8" t="inlineStr">
        <is>
          <t>Swab</t>
        </is>
      </c>
      <c r="C28" s="8" t="n">
        <v>2</v>
      </c>
      <c r="D28" s="8" t="n">
        <v>2</v>
      </c>
      <c r="E28" s="8" t="n">
        <v>0</v>
      </c>
      <c r="F28" s="8" t="n">
        <v>0</v>
      </c>
      <c r="G28" s="8" t="n">
        <v>2</v>
      </c>
      <c r="H28" s="8" t="n">
        <v>0</v>
      </c>
      <c r="I28" s="8" t="n">
        <v>0</v>
      </c>
      <c r="J28" s="9" t="n">
        <v>16.1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  <c r="J29" s="4" t="n"/>
      <c r="K29" t="inlineStr">
        <is>
          <t>no rate (above the largest listed swab)</t>
        </is>
      </c>
      <c r="L29" s="4">
        <f>IF(J29="","",D29*J29)</f>
        <v/>
      </c>
    </row>
    <row r="30">
      <c r="A30" s="8" t="inlineStr">
        <is>
          <t>size not legible</t>
        </is>
      </c>
      <c r="B30" s="8" t="inlineStr">
        <is>
          <t>Foam</t>
        </is>
      </c>
      <c r="C30" s="8" t="n">
        <v>1</v>
      </c>
      <c r="D30" s="8" t="n">
        <v>1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9" t="n"/>
      <c r="K30" s="8" t="inlineStr">
        <is>
          <t>no rate (size not legible)</t>
        </is>
      </c>
      <c r="L30" s="9">
        <f>IF(J30="","",D30*J30)</f>
        <v/>
      </c>
    </row>
    <row r="31">
      <c r="A31" s="5" t="inlineStr">
        <is>
          <t>TOTAL</t>
        </is>
      </c>
      <c r="B31" s="5" t="inlineStr"/>
      <c r="C31" s="5">
        <f>SUM(C3:C30)</f>
        <v/>
      </c>
      <c r="D31" s="5">
        <f>SUM(D3:D30)</f>
        <v/>
      </c>
      <c r="E31" s="5">
        <f>SUM(E3:E30)</f>
        <v/>
      </c>
      <c r="F31" s="5">
        <f>SUM(F3:F30)</f>
        <v/>
      </c>
      <c r="G31" s="5">
        <f>SUM(G3:G30)</f>
        <v/>
      </c>
      <c r="H31" s="5">
        <f>SUM(H3:H30)</f>
        <v/>
      </c>
      <c r="I31" s="5">
        <f>SUM(I3:I30)</f>
        <v/>
      </c>
      <c r="J31" s="5" t="inlineStr"/>
      <c r="K31" s="5" t="inlineStr"/>
      <c r="L31" s="6">
        <f>SUM(L3:L30)</f>
        <v/>
      </c>
    </row>
    <row r="32">
      <c r="A32" t="inlineStr">
        <is>
          <t>New pigs with no rate</t>
        </is>
      </c>
      <c r="B32" t="inlineStr"/>
      <c r="C32" t="inlineStr"/>
      <c r="D32">
        <f>SUMIF(J3:J30,"",D3:D30)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6"</t>
        </is>
      </c>
      <c r="B3" t="inlineStr">
        <is>
          <t>HR</t>
        </is>
      </c>
      <c r="C3" t="n">
        <v>2</v>
      </c>
      <c r="D3" t="n">
        <v>1</v>
      </c>
      <c r="E3" t="n">
        <v>1</v>
      </c>
      <c r="F3" t="n">
        <v>1</v>
      </c>
      <c r="G3" t="n">
        <v>0</v>
      </c>
      <c r="H3" t="n">
        <v>1</v>
      </c>
      <c r="I3" t="n">
        <v>0</v>
      </c>
      <c r="J3" s="4" t="n">
        <v>118</v>
      </c>
      <c r="K3" t="inlineStr">
        <is>
          <t>priced as Pin, same size</t>
        </is>
      </c>
      <c r="L3" s="4">
        <f>IF(J3="","",D3*J3)</f>
        <v/>
      </c>
    </row>
    <row r="4">
      <c r="A4" s="8" t="inlineStr">
        <is>
          <t>6"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0</v>
      </c>
      <c r="G4" s="8" t="n">
        <v>2</v>
      </c>
      <c r="H4" s="8" t="n">
        <v>0</v>
      </c>
      <c r="I4" s="8" t="n">
        <v>0</v>
      </c>
      <c r="J4" s="9" t="n">
        <v>118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6.25"</t>
        </is>
      </c>
      <c r="B5" t="inlineStr">
        <is>
          <t>Bolted</t>
        </is>
      </c>
      <c r="C5" t="n">
        <v>11</v>
      </c>
      <c r="D5" t="n">
        <v>1</v>
      </c>
      <c r="E5" t="n">
        <v>10</v>
      </c>
      <c r="F5" t="n">
        <v>1</v>
      </c>
      <c r="G5" t="n">
        <v>0</v>
      </c>
      <c r="H5" t="n">
        <v>6</v>
      </c>
      <c r="I5" t="n">
        <v>4</v>
      </c>
      <c r="J5" s="4" t="n">
        <v>129.8</v>
      </c>
      <c r="K5" t="inlineStr">
        <is>
          <t>pigs.xlsx</t>
        </is>
      </c>
      <c r="L5" s="4">
        <f>IF(J5="","",D5*J5)</f>
        <v/>
      </c>
    </row>
    <row r="6">
      <c r="A6" s="8" t="inlineStr">
        <is>
          <t>6.25"</t>
        </is>
      </c>
      <c r="B6" s="8" t="inlineStr">
        <is>
          <t>FMJ</t>
        </is>
      </c>
      <c r="C6" s="8" t="n">
        <v>2</v>
      </c>
      <c r="D6" s="8" t="n">
        <v>2</v>
      </c>
      <c r="E6" s="8" t="n">
        <v>0</v>
      </c>
      <c r="F6" s="8" t="n">
        <v>0</v>
      </c>
      <c r="G6" s="8" t="n">
        <v>2</v>
      </c>
      <c r="H6" s="8" t="n">
        <v>0</v>
      </c>
      <c r="I6" s="8" t="n">
        <v>0</v>
      </c>
      <c r="J6" s="9" t="n">
        <v>129.8</v>
      </c>
      <c r="K6" s="8" t="inlineStr">
        <is>
          <t>priced as Pin, same size</t>
        </is>
      </c>
      <c r="L6" s="9">
        <f>IF(J6="","",D6*J6)</f>
        <v/>
      </c>
    </row>
    <row r="7">
      <c r="A7" t="inlineStr">
        <is>
          <t>6.25"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82.59999999999999</v>
      </c>
      <c r="K7" t="inlineStr">
        <is>
          <t>rounded up to 8" Gauge Foam</t>
        </is>
      </c>
      <c r="L7" s="4">
        <f>IF(J7="","",D7*J7)</f>
        <v/>
      </c>
    </row>
    <row r="8">
      <c r="A8" s="8" t="inlineStr">
        <is>
          <t>6.25"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>
        <v>129.8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6.25"</t>
        </is>
      </c>
      <c r="B9" t="inlineStr">
        <is>
          <t>Pin / TC / PPS</t>
        </is>
      </c>
      <c r="C9" t="n">
        <v>4</v>
      </c>
      <c r="D9" t="n">
        <v>3</v>
      </c>
      <c r="E9" t="n">
        <v>1</v>
      </c>
      <c r="F9" t="n">
        <v>0</v>
      </c>
      <c r="G9" t="n">
        <v>3</v>
      </c>
      <c r="H9" t="n">
        <v>1</v>
      </c>
      <c r="I9" t="n">
        <v>0</v>
      </c>
      <c r="J9" s="4" t="n">
        <v>129.8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6.5"</t>
        </is>
      </c>
      <c r="B10" s="8" t="inlineStr">
        <is>
          <t>Other / unclear</t>
        </is>
      </c>
      <c r="C10" s="8" t="n">
        <v>2</v>
      </c>
      <c r="D10" s="8" t="n">
        <v>2</v>
      </c>
      <c r="E10" s="8" t="n">
        <v>0</v>
      </c>
      <c r="F10" s="8" t="n">
        <v>0</v>
      </c>
      <c r="G10" s="8" t="n">
        <v>2</v>
      </c>
      <c r="H10" s="8" t="n">
        <v>0</v>
      </c>
      <c r="I10" s="8" t="n">
        <v>0</v>
      </c>
      <c r="J10" s="9" t="n">
        <v>182.9</v>
      </c>
      <c r="K10" s="8" t="inlineStr">
        <is>
          <t>rounded up to 7.25" Pin (priced as Pin)</t>
        </is>
      </c>
      <c r="L10" s="9">
        <f>IF(J10="","",D10*J10)</f>
        <v/>
      </c>
    </row>
    <row r="11">
      <c r="A11" t="inlineStr">
        <is>
          <t>size not legible</t>
        </is>
      </c>
      <c r="B11" t="inlineStr">
        <is>
          <t>Foam</t>
        </is>
      </c>
      <c r="C11" t="n">
        <v>1</v>
      </c>
      <c r="D11" t="n">
        <v>1</v>
      </c>
      <c r="E11" t="n">
        <v>0</v>
      </c>
      <c r="F11" t="n">
        <v>0</v>
      </c>
      <c r="G11" t="n">
        <v>1</v>
      </c>
      <c r="H11" t="n">
        <v>0</v>
      </c>
      <c r="I11" t="n">
        <v>0</v>
      </c>
      <c r="J11" s="4" t="n"/>
      <c r="K11" t="inlineStr">
        <is>
          <t>no rate (size not legible)</t>
        </is>
      </c>
      <c r="L11" s="4">
        <f>IF(J11="","",D11*J11)</f>
        <v/>
      </c>
    </row>
    <row r="12">
      <c r="A12" s="5" t="inlineStr">
        <is>
          <t>TOTAL</t>
        </is>
      </c>
      <c r="B12" s="5" t="inlineStr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5">
        <f>SUM(H3:H11)</f>
        <v/>
      </c>
      <c r="I12" s="5">
        <f>SUM(I3:I11)</f>
        <v/>
      </c>
      <c r="J12" s="5" t="inlineStr"/>
      <c r="K12" s="5" t="inlineStr"/>
      <c r="L12" s="6">
        <f>SUM(L3:L11)</f>
        <v/>
      </c>
    </row>
    <row r="13">
      <c r="A13" t="inlineStr">
        <is>
          <t>New pigs with no rate</t>
        </is>
      </c>
      <c r="B13" t="inlineStr"/>
      <c r="C13" t="inlineStr"/>
      <c r="D13">
        <f>SUMIF(J3:J11,"",D3:D11)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35.4</v>
      </c>
      <c r="K3" t="inlineStr">
        <is>
          <t>rounded up to 3.125" Pin (priced as Pin)</t>
        </is>
      </c>
      <c r="L3" s="4">
        <f>IF(J3="","",D3*J3)</f>
        <v/>
      </c>
    </row>
    <row r="4">
      <c r="A4" s="8" t="inlineStr">
        <is>
          <t>3"</t>
        </is>
      </c>
      <c r="B4" s="8" t="inlineStr">
        <is>
          <t>Pin / TC / PPS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35.4</v>
      </c>
      <c r="K4" s="8" t="inlineStr">
        <is>
          <t>rounded up to 3.125" Pin</t>
        </is>
      </c>
      <c r="L4" s="9">
        <f>IF(J4="","",D4*J4)</f>
        <v/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s="4" t="n">
        <v>35.4</v>
      </c>
      <c r="K5" t="inlineStr">
        <is>
          <t>rounded up to 3.125" Pin (priced as Pin)</t>
        </is>
      </c>
      <c r="L5" s="4">
        <f>IF(J5="","",D5*J5)</f>
        <v/>
      </c>
    </row>
    <row r="6">
      <c r="A6" s="8" t="inlineStr">
        <is>
          <t>3.1"</t>
        </is>
      </c>
      <c r="B6" s="8" t="inlineStr">
        <is>
          <t>Pin / TC / PPS</t>
        </is>
      </c>
      <c r="C6" s="8" t="n">
        <v>1</v>
      </c>
      <c r="D6" s="8" t="n">
        <v>1</v>
      </c>
      <c r="E6" s="8" t="n">
        <v>0</v>
      </c>
      <c r="F6" s="8" t="n">
        <v>0</v>
      </c>
      <c r="G6" s="8" t="n">
        <v>1</v>
      </c>
      <c r="H6" s="8" t="n">
        <v>0</v>
      </c>
      <c r="I6" s="8" t="n">
        <v>0</v>
      </c>
      <c r="J6" s="9" t="n">
        <v>35.4</v>
      </c>
      <c r="K6" s="8" t="inlineStr">
        <is>
          <t>rounded up to 3.125" Pin</t>
        </is>
      </c>
      <c r="L6" s="9">
        <f>IF(J6="","",D6*J6)</f>
        <v/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s="4" t="n">
        <v>16.5</v>
      </c>
      <c r="K7" t="inlineStr">
        <is>
          <t>rounded up to 3.625" Gauge Foam</t>
        </is>
      </c>
      <c r="L7" s="4">
        <f>IF(J7="","",D7*J7)</f>
        <v/>
      </c>
    </row>
    <row r="8">
      <c r="A8" s="8" t="inlineStr">
        <is>
          <t>3.25"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>
        <v>41.3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  <c r="J9" s="4" t="n">
        <v>41.3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3.3"</t>
        </is>
      </c>
      <c r="B10" s="8" t="inlineStr">
        <is>
          <t>Bolted</t>
        </is>
      </c>
      <c r="C10" s="8" t="n">
        <v>3</v>
      </c>
      <c r="D10" s="8" t="n">
        <v>0</v>
      </c>
      <c r="E10" s="8" t="n">
        <v>3</v>
      </c>
      <c r="F10" s="8" t="n">
        <v>0</v>
      </c>
      <c r="G10" s="8" t="n">
        <v>0</v>
      </c>
      <c r="H10" s="8" t="n">
        <v>0</v>
      </c>
      <c r="I10" s="8" t="n">
        <v>3</v>
      </c>
      <c r="J10" s="9" t="n">
        <v>41.3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3.3"</t>
        </is>
      </c>
      <c r="B11" t="inlineStr">
        <is>
          <t>HR</t>
        </is>
      </c>
      <c r="C11" t="n">
        <v>16</v>
      </c>
      <c r="D11" t="n">
        <v>13</v>
      </c>
      <c r="E11" t="n">
        <v>3</v>
      </c>
      <c r="F11" t="n">
        <v>0</v>
      </c>
      <c r="G11" t="n">
        <v>13</v>
      </c>
      <c r="H11" t="n">
        <v>3</v>
      </c>
      <c r="I11" t="n">
        <v>0</v>
      </c>
      <c r="J11" s="4" t="n">
        <v>41.3</v>
      </c>
      <c r="K11" t="inlineStr">
        <is>
          <t>priced as Pin, same size</t>
        </is>
      </c>
      <c r="L11" s="4">
        <f>IF(J11="","",D11*J11)</f>
        <v/>
      </c>
    </row>
    <row r="12">
      <c r="A12" s="8" t="inlineStr">
        <is>
          <t>3.3"</t>
        </is>
      </c>
      <c r="B12" s="8" t="inlineStr">
        <is>
          <t>Other / unclear</t>
        </is>
      </c>
      <c r="C12" s="8" t="n">
        <v>4</v>
      </c>
      <c r="D12" s="8" t="n">
        <v>3</v>
      </c>
      <c r="E12" s="8" t="n">
        <v>1</v>
      </c>
      <c r="F12" s="8" t="n">
        <v>0</v>
      </c>
      <c r="G12" s="8" t="n">
        <v>3</v>
      </c>
      <c r="H12" s="8" t="n">
        <v>1</v>
      </c>
      <c r="I12" s="8" t="n">
        <v>0</v>
      </c>
      <c r="J12" s="9" t="n">
        <v>41.3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3.3"</t>
        </is>
      </c>
      <c r="B13" t="inlineStr">
        <is>
          <t>Pin / TC / PPS</t>
        </is>
      </c>
      <c r="C13" t="n">
        <v>4</v>
      </c>
      <c r="D13" t="n">
        <v>4</v>
      </c>
      <c r="E13" t="n">
        <v>0</v>
      </c>
      <c r="F13" t="n">
        <v>0</v>
      </c>
      <c r="G13" t="n">
        <v>4</v>
      </c>
      <c r="H13" t="n">
        <v>0</v>
      </c>
      <c r="I13" t="n">
        <v>0</v>
      </c>
      <c r="J13" s="4" t="n">
        <v>41.3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84 mm</t>
        </is>
      </c>
      <c r="B14" s="8" t="inlineStr">
        <is>
          <t>Honeycomb</t>
        </is>
      </c>
      <c r="C14" s="8" t="n">
        <v>3</v>
      </c>
      <c r="D14" s="8" t="n">
        <v>1</v>
      </c>
      <c r="E14" s="8" t="n">
        <v>2</v>
      </c>
      <c r="F14" s="8" t="n">
        <v>0</v>
      </c>
      <c r="G14" s="8" t="n">
        <v>1</v>
      </c>
      <c r="H14" s="8" t="n">
        <v>2</v>
      </c>
      <c r="I14" s="8" t="n">
        <v>0</v>
      </c>
      <c r="J14" s="9" t="n">
        <v>41.3</v>
      </c>
      <c r="K14" s="8" t="inlineStr">
        <is>
          <t>rounded up to 3.325" Pin (priced as Pin)</t>
        </is>
      </c>
      <c r="L14" s="9">
        <f>IF(J14="","",D14*J14)</f>
        <v/>
      </c>
    </row>
    <row r="15">
      <c r="A15" t="inlineStr">
        <is>
          <t>3.375"</t>
        </is>
      </c>
      <c r="B15" t="inlineStr">
        <is>
          <t>Bolted</t>
        </is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s="4" t="n">
        <v>47.2</v>
      </c>
      <c r="K15" t="inlineStr">
        <is>
          <t>rounded up to 3.5" Pin (priced as Pin)</t>
        </is>
      </c>
      <c r="L15" s="4">
        <f>IF(J15="","",D15*J15)</f>
        <v/>
      </c>
    </row>
    <row r="16">
      <c r="A16" s="8" t="inlineStr">
        <is>
          <t>3.375"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47.2</v>
      </c>
      <c r="K16" s="8" t="inlineStr">
        <is>
          <t>rounded up to 3.5" Pin (priced as Pin)</t>
        </is>
      </c>
      <c r="L16" s="9">
        <f>IF(J16="","",D16*J16)</f>
        <v/>
      </c>
    </row>
    <row r="17">
      <c r="A17" t="inlineStr">
        <is>
          <t>3.5"</t>
        </is>
      </c>
      <c r="B17" t="inlineStr">
        <is>
          <t>Bolted</t>
        </is>
      </c>
      <c r="C17" t="n">
        <v>10</v>
      </c>
      <c r="D17" t="n">
        <v>0</v>
      </c>
      <c r="E17" t="n">
        <v>10</v>
      </c>
      <c r="F17" t="n">
        <v>0</v>
      </c>
      <c r="G17" t="n">
        <v>0</v>
      </c>
      <c r="H17" t="n">
        <v>0</v>
      </c>
      <c r="I17" t="n">
        <v>10</v>
      </c>
      <c r="J17" s="4" t="n">
        <v>47.2</v>
      </c>
      <c r="K17" t="inlineStr">
        <is>
          <t>priced as Pin, same size</t>
        </is>
      </c>
      <c r="L17" s="4">
        <f>IF(J17="","",D17*J17)</f>
        <v/>
      </c>
    </row>
    <row r="18">
      <c r="A18" s="8" t="inlineStr">
        <is>
          <t>3.5"</t>
        </is>
      </c>
      <c r="B18" s="8" t="inlineStr">
        <is>
          <t>HR</t>
        </is>
      </c>
      <c r="C18" s="8" t="n">
        <v>9</v>
      </c>
      <c r="D18" s="8" t="n">
        <v>8</v>
      </c>
      <c r="E18" s="8" t="n">
        <v>1</v>
      </c>
      <c r="F18" s="8" t="n">
        <v>0</v>
      </c>
      <c r="G18" s="8" t="n">
        <v>8</v>
      </c>
      <c r="H18" s="8" t="n">
        <v>1</v>
      </c>
      <c r="I18" s="8" t="n">
        <v>0</v>
      </c>
      <c r="J18" s="9" t="n">
        <v>47.2</v>
      </c>
      <c r="K18" s="8" t="inlineStr">
        <is>
          <t>priced as Pin, same size</t>
        </is>
      </c>
      <c r="L18" s="9">
        <f>IF(J18="","",D18*J18)</f>
        <v/>
      </c>
    </row>
    <row r="19">
      <c r="A19" t="inlineStr">
        <is>
          <t>3.5"</t>
        </is>
      </c>
      <c r="B19" t="inlineStr">
        <is>
          <t>Other / unclear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47.2</v>
      </c>
      <c r="K19" t="inlineStr">
        <is>
          <t>priced as Pin, same size</t>
        </is>
      </c>
      <c r="L19" s="4">
        <f>IF(J19="","",D19*J19)</f>
        <v/>
      </c>
    </row>
    <row r="20">
      <c r="A20" s="8" t="inlineStr">
        <is>
          <t>3.5"</t>
        </is>
      </c>
      <c r="B20" s="8" t="inlineStr">
        <is>
          <t>Pin / TC / PPS</t>
        </is>
      </c>
      <c r="C20" s="8" t="n">
        <v>23</v>
      </c>
      <c r="D20" s="8" t="n">
        <v>19</v>
      </c>
      <c r="E20" s="8" t="n">
        <v>4</v>
      </c>
      <c r="F20" s="8" t="n">
        <v>0</v>
      </c>
      <c r="G20" s="8" t="n">
        <v>19</v>
      </c>
      <c r="H20" s="8" t="n">
        <v>4</v>
      </c>
      <c r="I20" s="8" t="n">
        <v>0</v>
      </c>
      <c r="J20" s="9" t="n">
        <v>47.2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3.6"</t>
        </is>
      </c>
      <c r="B21" t="inlineStr">
        <is>
          <t>Bolted</t>
        </is>
      </c>
      <c r="C21" t="n">
        <v>3</v>
      </c>
      <c r="D21" t="n">
        <v>0</v>
      </c>
      <c r="E21" t="n">
        <v>3</v>
      </c>
      <c r="F21" t="n">
        <v>0</v>
      </c>
      <c r="G21" t="n">
        <v>0</v>
      </c>
      <c r="H21" t="n">
        <v>0</v>
      </c>
      <c r="I21" t="n">
        <v>3</v>
      </c>
      <c r="J21" s="4" t="n">
        <v>47.2</v>
      </c>
      <c r="K21" t="inlineStr">
        <is>
          <t>rounded up to 3.625" Pin (priced as Pin)</t>
        </is>
      </c>
      <c r="L21" s="4">
        <f>IF(J21="","",D21*J21)</f>
        <v/>
      </c>
    </row>
    <row r="22">
      <c r="A22" s="8" t="inlineStr">
        <is>
          <t>3.6"</t>
        </is>
      </c>
      <c r="B22" s="8" t="inlineStr">
        <is>
          <t>HR</t>
        </is>
      </c>
      <c r="C22" s="8" t="n">
        <v>1</v>
      </c>
      <c r="D22" s="8" t="n">
        <v>1</v>
      </c>
      <c r="E22" s="8" t="n">
        <v>0</v>
      </c>
      <c r="F22" s="8" t="n">
        <v>0</v>
      </c>
      <c r="G22" s="8" t="n">
        <v>1</v>
      </c>
      <c r="H22" s="8" t="n">
        <v>0</v>
      </c>
      <c r="I22" s="8" t="n">
        <v>0</v>
      </c>
      <c r="J22" s="9" t="n">
        <v>47.2</v>
      </c>
      <c r="K22" s="8" t="inlineStr">
        <is>
          <t>rounded up to 3.625" Pin (priced as Pin)</t>
        </is>
      </c>
      <c r="L22" s="9">
        <f>IF(J22="","",D22*J22)</f>
        <v/>
      </c>
    </row>
    <row r="23">
      <c r="A23" t="inlineStr">
        <is>
          <t>3.6"</t>
        </is>
      </c>
      <c r="B23" t="inlineStr">
        <is>
          <t>Other / unclear</t>
        </is>
      </c>
      <c r="C23" t="n">
        <v>2</v>
      </c>
      <c r="D23" t="n">
        <v>0</v>
      </c>
      <c r="E23" t="n">
        <v>2</v>
      </c>
      <c r="F23" t="n">
        <v>0</v>
      </c>
      <c r="G23" t="n">
        <v>0</v>
      </c>
      <c r="H23" t="n">
        <v>2</v>
      </c>
      <c r="I23" t="n">
        <v>0</v>
      </c>
      <c r="J23" s="4" t="n">
        <v>47.2</v>
      </c>
      <c r="K23" t="inlineStr">
        <is>
          <t>rounded up to 3.625" Pin (priced as Pin)</t>
        </is>
      </c>
      <c r="L23" s="4">
        <f>IF(J23="","",D23*J23)</f>
        <v/>
      </c>
    </row>
    <row r="24">
      <c r="A24" s="8" t="inlineStr">
        <is>
          <t>3.6"</t>
        </is>
      </c>
      <c r="B24" s="8" t="inlineStr">
        <is>
          <t>Pin / TC / PPS</t>
        </is>
      </c>
      <c r="C24" s="8" t="n">
        <v>3</v>
      </c>
      <c r="D24" s="8" t="n">
        <v>3</v>
      </c>
      <c r="E24" s="8" t="n">
        <v>0</v>
      </c>
      <c r="F24" s="8" t="n">
        <v>3</v>
      </c>
      <c r="G24" s="8" t="n">
        <v>0</v>
      </c>
      <c r="H24" s="8" t="n">
        <v>0</v>
      </c>
      <c r="I24" s="8" t="n">
        <v>0</v>
      </c>
      <c r="J24" s="9" t="n">
        <v>47.2</v>
      </c>
      <c r="K24" s="8" t="inlineStr">
        <is>
          <t>rounded up to 3.625" Pin</t>
        </is>
      </c>
      <c r="L24" s="9">
        <f>IF(J24="","",D24*J24)</f>
        <v/>
      </c>
    </row>
    <row r="25">
      <c r="A25" t="inlineStr">
        <is>
          <t>3.625"</t>
        </is>
      </c>
      <c r="B25" t="inlineStr">
        <is>
          <t>Bolted</t>
        </is>
      </c>
      <c r="C25" t="n">
        <v>16</v>
      </c>
      <c r="D25" t="n">
        <v>2</v>
      </c>
      <c r="E25" t="n">
        <v>14</v>
      </c>
      <c r="F25" t="n">
        <v>2</v>
      </c>
      <c r="G25" t="n">
        <v>0</v>
      </c>
      <c r="H25" t="n">
        <v>11</v>
      </c>
      <c r="I25" t="n">
        <v>3</v>
      </c>
      <c r="J25" s="4" t="n">
        <v>47.2</v>
      </c>
      <c r="K25" t="inlineStr">
        <is>
          <t>priced as Pin, same size</t>
        </is>
      </c>
      <c r="L25" s="4">
        <f>IF(J25="","",D25*J25)</f>
        <v/>
      </c>
    </row>
    <row r="26">
      <c r="A26" s="8" t="inlineStr">
        <is>
          <t>3.625"</t>
        </is>
      </c>
      <c r="B26" s="8" t="inlineStr">
        <is>
          <t>HR</t>
        </is>
      </c>
      <c r="C26" s="8" t="n">
        <v>4</v>
      </c>
      <c r="D26" s="8" t="n">
        <v>3</v>
      </c>
      <c r="E26" s="8" t="n">
        <v>1</v>
      </c>
      <c r="F26" s="8" t="n">
        <v>1</v>
      </c>
      <c r="G26" s="8" t="n">
        <v>2</v>
      </c>
      <c r="H26" s="8" t="n">
        <v>1</v>
      </c>
      <c r="I26" s="8" t="n">
        <v>0</v>
      </c>
      <c r="J26" s="9" t="n">
        <v>47.2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3.625"</t>
        </is>
      </c>
      <c r="B27" t="inlineStr">
        <is>
          <t>Other / unclear</t>
        </is>
      </c>
      <c r="C27" t="n">
        <v>2</v>
      </c>
      <c r="D27" t="n">
        <v>2</v>
      </c>
      <c r="E27" t="n">
        <v>0</v>
      </c>
      <c r="F27" t="n">
        <v>1</v>
      </c>
      <c r="G27" t="n">
        <v>1</v>
      </c>
      <c r="H27" t="n">
        <v>0</v>
      </c>
      <c r="I27" t="n">
        <v>0</v>
      </c>
      <c r="J27" s="4" t="n">
        <v>47.2</v>
      </c>
      <c r="K27" t="inlineStr">
        <is>
          <t>priced as Pin, same size</t>
        </is>
      </c>
      <c r="L27" s="4">
        <f>IF(J27="","",D27*J27)</f>
        <v/>
      </c>
    </row>
    <row r="28">
      <c r="A28" s="8" t="inlineStr">
        <is>
          <t>3.625"</t>
        </is>
      </c>
      <c r="B28" s="8" t="inlineStr">
        <is>
          <t>Pin / TC / PPS</t>
        </is>
      </c>
      <c r="C28" s="8" t="n">
        <v>14</v>
      </c>
      <c r="D28" s="8" t="n">
        <v>11</v>
      </c>
      <c r="E28" s="8" t="n">
        <v>3</v>
      </c>
      <c r="F28" s="8" t="n">
        <v>1</v>
      </c>
      <c r="G28" s="8" t="n">
        <v>10</v>
      </c>
      <c r="H28" s="8" t="n">
        <v>3</v>
      </c>
      <c r="I28" s="8" t="n">
        <v>0</v>
      </c>
      <c r="J28" s="9" t="n">
        <v>47.2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3.7"</t>
        </is>
      </c>
      <c r="B29" t="inlineStr">
        <is>
          <t>Pin / TC / PPS</t>
        </is>
      </c>
      <c r="C29" t="n">
        <v>1</v>
      </c>
      <c r="D29" t="n">
        <v>1</v>
      </c>
      <c r="E29" t="n">
        <v>0</v>
      </c>
      <c r="F29" t="n">
        <v>1</v>
      </c>
      <c r="G29" t="n">
        <v>0</v>
      </c>
      <c r="H29" t="n">
        <v>0</v>
      </c>
      <c r="I29" t="n">
        <v>0</v>
      </c>
      <c r="J29" s="4" t="n">
        <v>53.1</v>
      </c>
      <c r="K29" t="inlineStr">
        <is>
          <t>rounded up to 3.75" Pin</t>
        </is>
      </c>
      <c r="L29" s="4">
        <f>IF(J29="","",D29*J29)</f>
        <v/>
      </c>
    </row>
    <row r="30">
      <c r="A30" s="8" t="inlineStr">
        <is>
          <t>3.75"</t>
        </is>
      </c>
      <c r="B30" s="8" t="inlineStr">
        <is>
          <t>Bolted</t>
        </is>
      </c>
      <c r="C30" s="8" t="n">
        <v>1</v>
      </c>
      <c r="D30" s="8" t="n">
        <v>0</v>
      </c>
      <c r="E30" s="8" t="n">
        <v>1</v>
      </c>
      <c r="F30" s="8" t="n">
        <v>0</v>
      </c>
      <c r="G30" s="8" t="n">
        <v>0</v>
      </c>
      <c r="H30" s="8" t="n">
        <v>1</v>
      </c>
      <c r="I30" s="8" t="n">
        <v>0</v>
      </c>
      <c r="J30" s="9" t="n">
        <v>53.1</v>
      </c>
      <c r="K30" s="8" t="inlineStr">
        <is>
          <t>priced as Pin, same size</t>
        </is>
      </c>
      <c r="L30" s="9">
        <f>IF(J30="","",D30*J30)</f>
        <v/>
      </c>
    </row>
    <row r="31">
      <c r="A31" t="inlineStr">
        <is>
          <t>3.75"</t>
        </is>
      </c>
      <c r="B31" t="inlineStr">
        <is>
          <t>Foam</t>
        </is>
      </c>
      <c r="C31" t="n">
        <v>4</v>
      </c>
      <c r="D31" t="n">
        <v>4</v>
      </c>
      <c r="E31" t="n">
        <v>0</v>
      </c>
      <c r="F31" t="n">
        <v>0</v>
      </c>
      <c r="G31" t="n">
        <v>4</v>
      </c>
      <c r="H31" t="n">
        <v>0</v>
      </c>
      <c r="I31" t="n">
        <v>0</v>
      </c>
      <c r="J31" s="4" t="n">
        <v>18.9</v>
      </c>
      <c r="K31" t="inlineStr">
        <is>
          <t>rounded up to 4" Gauge Foam</t>
        </is>
      </c>
      <c r="L31" s="4">
        <f>IF(J31="","",D31*J31)</f>
        <v/>
      </c>
    </row>
    <row r="32">
      <c r="A32" s="8" t="inlineStr">
        <is>
          <t>3.75"</t>
        </is>
      </c>
      <c r="B32" s="8" t="inlineStr">
        <is>
          <t>Gauge foam</t>
        </is>
      </c>
      <c r="C32" s="8" t="n">
        <v>2</v>
      </c>
      <c r="D32" s="8" t="n">
        <v>2</v>
      </c>
      <c r="E32" s="8" t="n">
        <v>0</v>
      </c>
      <c r="F32" s="8" t="n">
        <v>2</v>
      </c>
      <c r="G32" s="8" t="n">
        <v>0</v>
      </c>
      <c r="H32" s="8" t="n">
        <v>0</v>
      </c>
      <c r="I32" s="8" t="n">
        <v>0</v>
      </c>
      <c r="J32" s="9" t="n">
        <v>18.9</v>
      </c>
      <c r="K32" s="8" t="inlineStr">
        <is>
          <t>rounded up to 4" Gauge Foam</t>
        </is>
      </c>
      <c r="L32" s="9">
        <f>IF(J32="","",D32*J32)</f>
        <v/>
      </c>
    </row>
    <row r="33">
      <c r="A33" t="inlineStr">
        <is>
          <t>3.75"</t>
        </is>
      </c>
      <c r="B33" t="inlineStr">
        <is>
          <t>HR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  <c r="J33" s="4" t="n">
        <v>53.1</v>
      </c>
      <c r="K33" t="inlineStr">
        <is>
          <t>priced as Pin, same size</t>
        </is>
      </c>
      <c r="L33" s="4">
        <f>IF(J33="","",D33*J33)</f>
        <v/>
      </c>
    </row>
    <row r="34">
      <c r="A34" s="8" t="inlineStr">
        <is>
          <t>3.75"</t>
        </is>
      </c>
      <c r="B34" s="8" t="inlineStr">
        <is>
          <t>Other / unclear</t>
        </is>
      </c>
      <c r="C34" s="8" t="n">
        <v>1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0</v>
      </c>
      <c r="I34" s="8" t="n">
        <v>0</v>
      </c>
      <c r="J34" s="9" t="n">
        <v>53.1</v>
      </c>
      <c r="K34" s="8" t="inlineStr">
        <is>
          <t>priced as Pin, same size</t>
        </is>
      </c>
      <c r="L34" s="9">
        <f>IF(J34="","",D34*J34)</f>
        <v/>
      </c>
    </row>
    <row r="35">
      <c r="A35" t="inlineStr">
        <is>
          <t>3.75"</t>
        </is>
      </c>
      <c r="B35" t="inlineStr">
        <is>
          <t>Pin / TC / PPS</t>
        </is>
      </c>
      <c r="C35" t="n">
        <v>4</v>
      </c>
      <c r="D35" t="n">
        <v>3</v>
      </c>
      <c r="E35" t="n">
        <v>1</v>
      </c>
      <c r="F35" t="n">
        <v>1</v>
      </c>
      <c r="G35" t="n">
        <v>2</v>
      </c>
      <c r="H35" t="n">
        <v>1</v>
      </c>
      <c r="I35" t="n">
        <v>0</v>
      </c>
      <c r="J35" s="4" t="n">
        <v>53.1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3.8"</t>
        </is>
      </c>
      <c r="B36" s="8" t="inlineStr">
        <is>
          <t>Foam</t>
        </is>
      </c>
      <c r="C36" s="8" t="n">
        <v>1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0</v>
      </c>
      <c r="I36" s="8" t="n">
        <v>0</v>
      </c>
      <c r="J36" s="9" t="n">
        <v>18.9</v>
      </c>
      <c r="K36" s="8" t="inlineStr">
        <is>
          <t>rounded up to 4" Gauge Foam</t>
        </is>
      </c>
      <c r="L36" s="9">
        <f>IF(J36="","",D36*J36)</f>
        <v/>
      </c>
    </row>
    <row r="37">
      <c r="A37" t="inlineStr">
        <is>
          <t>3.8"</t>
        </is>
      </c>
      <c r="B37" t="inlineStr">
        <is>
          <t>HR</t>
        </is>
      </c>
      <c r="C37" t="n">
        <v>1</v>
      </c>
      <c r="D37" t="n">
        <v>1</v>
      </c>
      <c r="E37" t="n">
        <v>0</v>
      </c>
      <c r="F37" t="n">
        <v>0</v>
      </c>
      <c r="G37" t="n">
        <v>1</v>
      </c>
      <c r="H37" t="n">
        <v>0</v>
      </c>
      <c r="I37" t="n">
        <v>0</v>
      </c>
      <c r="J37" s="4" t="n">
        <v>53.1</v>
      </c>
      <c r="K37" t="inlineStr">
        <is>
          <t>rounded up to 3.875" Pin (priced as Pin)</t>
        </is>
      </c>
      <c r="L37" s="4">
        <f>IF(J37="","",D37*J37)</f>
        <v/>
      </c>
    </row>
    <row r="38">
      <c r="A38" s="8" t="inlineStr">
        <is>
          <t>3.8"</t>
        </is>
      </c>
      <c r="B38" s="8" t="inlineStr">
        <is>
          <t>Pin / TC / PPS</t>
        </is>
      </c>
      <c r="C38" s="8" t="n">
        <v>7</v>
      </c>
      <c r="D38" s="8" t="n">
        <v>7</v>
      </c>
      <c r="E38" s="8" t="n">
        <v>0</v>
      </c>
      <c r="F38" s="8" t="n">
        <v>0</v>
      </c>
      <c r="G38" s="8" t="n">
        <v>7</v>
      </c>
      <c r="H38" s="8" t="n">
        <v>0</v>
      </c>
      <c r="I38" s="8" t="n">
        <v>0</v>
      </c>
      <c r="J38" s="9" t="n">
        <v>53.1</v>
      </c>
      <c r="K38" s="8" t="inlineStr">
        <is>
          <t>rounded up to 3.875" Pin</t>
        </is>
      </c>
      <c r="L38" s="9">
        <f>IF(J38="","",D38*J38)</f>
        <v/>
      </c>
    </row>
    <row r="39">
      <c r="A39" t="inlineStr">
        <is>
          <t>3.875"</t>
        </is>
      </c>
      <c r="B39" t="inlineStr">
        <is>
          <t>Bolted</t>
        </is>
      </c>
      <c r="C39" t="n">
        <v>3</v>
      </c>
      <c r="D39" t="n">
        <v>0</v>
      </c>
      <c r="E39" t="n">
        <v>3</v>
      </c>
      <c r="F39" t="n">
        <v>0</v>
      </c>
      <c r="G39" t="n">
        <v>0</v>
      </c>
      <c r="H39" t="n">
        <v>1</v>
      </c>
      <c r="I39" t="n">
        <v>2</v>
      </c>
      <c r="J39" s="4" t="n">
        <v>53.1</v>
      </c>
      <c r="K39" t="inlineStr">
        <is>
          <t>priced as Pin, same size</t>
        </is>
      </c>
      <c r="L39" s="4">
        <f>IF(J39="","",D39*J39)</f>
        <v/>
      </c>
    </row>
    <row r="40">
      <c r="A40" s="8" t="inlineStr">
        <is>
          <t>3.875"</t>
        </is>
      </c>
      <c r="B40" s="8" t="inlineStr">
        <is>
          <t>Foam</t>
        </is>
      </c>
      <c r="C40" s="8" t="n">
        <v>2</v>
      </c>
      <c r="D40" s="8" t="n">
        <v>2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0</v>
      </c>
      <c r="J40" s="9" t="n">
        <v>18.9</v>
      </c>
      <c r="K40" s="8" t="inlineStr">
        <is>
          <t>rounded up to 4" Gauge Foam</t>
        </is>
      </c>
      <c r="L40" s="9">
        <f>IF(J40="","",D40*J40)</f>
        <v/>
      </c>
    </row>
    <row r="41">
      <c r="A41" t="inlineStr">
        <is>
          <t>3.875"</t>
        </is>
      </c>
      <c r="B41" t="inlineStr">
        <is>
          <t>Pin / TC / PPS</t>
        </is>
      </c>
      <c r="C41" t="n">
        <v>3</v>
      </c>
      <c r="D41" t="n">
        <v>3</v>
      </c>
      <c r="E41" t="n">
        <v>0</v>
      </c>
      <c r="F41" t="n">
        <v>0</v>
      </c>
      <c r="G41" t="n">
        <v>3</v>
      </c>
      <c r="H41" t="n">
        <v>0</v>
      </c>
      <c r="I41" t="n">
        <v>0</v>
      </c>
      <c r="J41" s="4" t="n">
        <v>53.1</v>
      </c>
      <c r="K41" t="inlineStr">
        <is>
          <t>pigs.xlsx</t>
        </is>
      </c>
      <c r="L41" s="4">
        <f>IF(J41="","",D41*J41)</f>
        <v/>
      </c>
    </row>
    <row r="42">
      <c r="A42" s="8" t="inlineStr">
        <is>
          <t>3.9"</t>
        </is>
      </c>
      <c r="B42" s="8" t="inlineStr">
        <is>
          <t>Pin / TC / PPS</t>
        </is>
      </c>
      <c r="C42" s="8" t="n">
        <v>1</v>
      </c>
      <c r="D42" s="8" t="n">
        <v>1</v>
      </c>
      <c r="E42" s="8" t="n">
        <v>0</v>
      </c>
      <c r="F42" s="8" t="n">
        <v>0</v>
      </c>
      <c r="G42" s="8" t="n">
        <v>1</v>
      </c>
      <c r="H42" s="8" t="n">
        <v>0</v>
      </c>
      <c r="I42" s="8" t="n">
        <v>0</v>
      </c>
      <c r="J42" s="9" t="n">
        <v>59</v>
      </c>
      <c r="K42" s="8" t="inlineStr">
        <is>
          <t>rounded up to 4" Pin</t>
        </is>
      </c>
      <c r="L42" s="9">
        <f>IF(J42="","",D42*J42)</f>
        <v/>
      </c>
    </row>
    <row r="43">
      <c r="A43" t="inlineStr">
        <is>
          <t>4"</t>
        </is>
      </c>
      <c r="B43" t="inlineStr">
        <is>
          <t>Bolted</t>
        </is>
      </c>
      <c r="C43" t="n">
        <v>11</v>
      </c>
      <c r="D43" t="n">
        <v>0</v>
      </c>
      <c r="E43" t="n">
        <v>11</v>
      </c>
      <c r="F43" t="n">
        <v>0</v>
      </c>
      <c r="G43" t="n">
        <v>0</v>
      </c>
      <c r="H43" t="n">
        <v>8</v>
      </c>
      <c r="I43" t="n">
        <v>3</v>
      </c>
      <c r="J43" s="4" t="n">
        <v>59</v>
      </c>
      <c r="K43" t="inlineStr">
        <is>
          <t>priced as Pin, same size</t>
        </is>
      </c>
      <c r="L43" s="4">
        <f>IF(J43="","",D43*J43)</f>
        <v/>
      </c>
    </row>
    <row r="44">
      <c r="A44" s="8" t="inlineStr">
        <is>
          <t>4"</t>
        </is>
      </c>
      <c r="B44" s="8" t="inlineStr">
        <is>
          <t>Foam</t>
        </is>
      </c>
      <c r="C44" s="8" t="n">
        <v>1</v>
      </c>
      <c r="D44" s="8" t="n">
        <v>1</v>
      </c>
      <c r="E44" s="8" t="n">
        <v>0</v>
      </c>
      <c r="F44" s="8" t="n">
        <v>0</v>
      </c>
      <c r="G44" s="8" t="n">
        <v>1</v>
      </c>
      <c r="H44" s="8" t="n">
        <v>0</v>
      </c>
      <c r="I44" s="8" t="n">
        <v>0</v>
      </c>
      <c r="J44" s="9" t="n">
        <v>18.9</v>
      </c>
      <c r="K44" s="8" t="inlineStr">
        <is>
          <t>pigs.xlsx (Gauge Foam rate)</t>
        </is>
      </c>
      <c r="L44" s="9">
        <f>IF(J44="","",D44*J44)</f>
        <v/>
      </c>
    </row>
    <row r="45">
      <c r="A45" t="inlineStr">
        <is>
          <t>4"</t>
        </is>
      </c>
      <c r="B45" t="inlineStr">
        <is>
          <t>Pin / TC / PPS</t>
        </is>
      </c>
      <c r="C45" t="n">
        <v>16</v>
      </c>
      <c r="D45" t="n">
        <v>14</v>
      </c>
      <c r="E45" t="n">
        <v>2</v>
      </c>
      <c r="F45" t="n">
        <v>1</v>
      </c>
      <c r="G45" t="n">
        <v>13</v>
      </c>
      <c r="H45" t="n">
        <v>2</v>
      </c>
      <c r="I45" t="n">
        <v>0</v>
      </c>
      <c r="J45" s="4" t="n">
        <v>59</v>
      </c>
      <c r="K45" t="inlineStr">
        <is>
          <t>pigs.xlsx</t>
        </is>
      </c>
      <c r="L45" s="4">
        <f>IF(J45="","",D45*J45)</f>
        <v/>
      </c>
    </row>
    <row r="46">
      <c r="A46" s="8" t="inlineStr">
        <is>
          <t>6.5"</t>
        </is>
      </c>
      <c r="B46" s="8" t="inlineStr">
        <is>
          <t>Swab</t>
        </is>
      </c>
      <c r="C46" s="8" t="n">
        <v>1</v>
      </c>
      <c r="D46" s="8" t="n">
        <v>1</v>
      </c>
      <c r="E46" s="8" t="n">
        <v>0</v>
      </c>
      <c r="F46" s="8" t="n">
        <v>0</v>
      </c>
      <c r="G46" s="8" t="n">
        <v>1</v>
      </c>
      <c r="H46" s="8" t="n">
        <v>0</v>
      </c>
      <c r="I46" s="8" t="n">
        <v>0</v>
      </c>
      <c r="J46" s="9" t="n">
        <v>16.1</v>
      </c>
      <c r="K46" s="8" t="inlineStr">
        <is>
          <t>rounded up to 8.5" Swab</t>
        </is>
      </c>
      <c r="L46" s="9">
        <f>IF(J46="","",D46*J46)</f>
        <v/>
      </c>
    </row>
    <row r="47">
      <c r="A47" t="inlineStr">
        <is>
          <t>size not legible</t>
        </is>
      </c>
      <c r="B47" t="inlineStr">
        <is>
          <t>Foam</t>
        </is>
      </c>
      <c r="C47" t="n">
        <v>1</v>
      </c>
      <c r="D47" t="n">
        <v>1</v>
      </c>
      <c r="E47" t="n">
        <v>0</v>
      </c>
      <c r="F47" t="n">
        <v>0</v>
      </c>
      <c r="G47" t="n">
        <v>1</v>
      </c>
      <c r="H47" t="n">
        <v>0</v>
      </c>
      <c r="I47" t="n">
        <v>0</v>
      </c>
      <c r="J47" s="4" t="n"/>
      <c r="K47" t="inlineStr">
        <is>
          <t>no rate (size not legible)</t>
        </is>
      </c>
      <c r="L47" s="4">
        <f>IF(J47="","",D47*J47)</f>
        <v/>
      </c>
    </row>
    <row r="48">
      <c r="A48" s="5" t="inlineStr">
        <is>
          <t>TOTAL</t>
        </is>
      </c>
      <c r="B48" s="5" t="inlineStr"/>
      <c r="C48" s="5">
        <f>SUM(C3:C47)</f>
        <v/>
      </c>
      <c r="D48" s="5">
        <f>SUM(D3:D47)</f>
        <v/>
      </c>
      <c r="E48" s="5">
        <f>SUM(E3:E47)</f>
        <v/>
      </c>
      <c r="F48" s="5">
        <f>SUM(F3:F47)</f>
        <v/>
      </c>
      <c r="G48" s="5">
        <f>SUM(G3:G47)</f>
        <v/>
      </c>
      <c r="H48" s="5">
        <f>SUM(H3:H47)</f>
        <v/>
      </c>
      <c r="I48" s="5">
        <f>SUM(I3:I47)</f>
        <v/>
      </c>
      <c r="J48" s="5" t="inlineStr"/>
      <c r="K48" s="5" t="inlineStr"/>
      <c r="L48" s="6">
        <f>SUM(L3:L47)</f>
        <v/>
      </c>
    </row>
    <row r="49">
      <c r="A49" t="inlineStr">
        <is>
          <t>New pigs with no rate</t>
        </is>
      </c>
      <c r="B49" t="inlineStr"/>
      <c r="C49" t="inlineStr"/>
      <c r="D49">
        <f>SUMIF(J3:J47,"",D3:D47)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53.1</v>
      </c>
      <c r="K3" t="inlineStr">
        <is>
          <t>priced as Pin, same size</t>
        </is>
      </c>
      <c r="L3" s="4">
        <f>IF(J3="","",D3*J3)</f>
        <v/>
      </c>
    </row>
    <row r="4">
      <c r="A4" s="8" t="inlineStr">
        <is>
          <t>3.75"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1</v>
      </c>
      <c r="G4" s="8" t="n">
        <v>1</v>
      </c>
      <c r="H4" s="8" t="n">
        <v>0</v>
      </c>
      <c r="I4" s="8" t="n">
        <v>0</v>
      </c>
      <c r="J4" s="9" t="n">
        <v>53.1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s="4" t="n">
        <v>53.1</v>
      </c>
      <c r="K5" t="inlineStr">
        <is>
          <t>rounded up to 3.875" Pin</t>
        </is>
      </c>
      <c r="L5" s="4">
        <f>IF(J5="","",D5*J5)</f>
        <v/>
      </c>
    </row>
    <row r="6">
      <c r="A6" s="8" t="inlineStr">
        <is>
          <t>3.875"</t>
        </is>
      </c>
      <c r="B6" s="8" t="inlineStr">
        <is>
          <t>Pin / TC / PPS</t>
        </is>
      </c>
      <c r="C6" s="8" t="n">
        <v>4</v>
      </c>
      <c r="D6" s="8" t="n">
        <v>1</v>
      </c>
      <c r="E6" s="8" t="n">
        <v>3</v>
      </c>
      <c r="F6" s="8" t="n">
        <v>0</v>
      </c>
      <c r="G6" s="8" t="n">
        <v>1</v>
      </c>
      <c r="H6" s="8" t="n">
        <v>3</v>
      </c>
      <c r="I6" s="8" t="n">
        <v>0</v>
      </c>
      <c r="J6" s="9" t="n">
        <v>53.1</v>
      </c>
      <c r="K6" s="8" t="inlineStr">
        <is>
          <t>pigs.xlsx</t>
        </is>
      </c>
      <c r="L6" s="9">
        <f>IF(J6="","",D6*J6)</f>
        <v/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18.9</v>
      </c>
      <c r="K7" t="inlineStr">
        <is>
          <t>pigs.xlsx (Gauge Foam rate)</t>
        </is>
      </c>
      <c r="L7" s="4">
        <f>IF(J7="","",D7*J7)</f>
        <v/>
      </c>
    </row>
    <row r="8">
      <c r="A8" s="8" t="inlineStr">
        <is>
          <t>4"</t>
        </is>
      </c>
      <c r="B8" s="8" t="inlineStr">
        <is>
          <t>Gauge foam</t>
        </is>
      </c>
      <c r="C8" s="8" t="n">
        <v>5</v>
      </c>
      <c r="D8" s="8" t="n">
        <v>1</v>
      </c>
      <c r="E8" s="8" t="n">
        <v>4</v>
      </c>
      <c r="F8" s="8" t="n">
        <v>0</v>
      </c>
      <c r="G8" s="8" t="n">
        <v>1</v>
      </c>
      <c r="H8" s="8" t="n">
        <v>4</v>
      </c>
      <c r="I8" s="8" t="n">
        <v>0</v>
      </c>
      <c r="J8" s="9" t="n">
        <v>18.9</v>
      </c>
      <c r="K8" s="8" t="inlineStr">
        <is>
          <t>pigs.xlsx</t>
        </is>
      </c>
      <c r="L8" s="9">
        <f>IF(J8="","",D8*J8)</f>
        <v/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  <c r="J9" s="4" t="n">
        <v>59</v>
      </c>
      <c r="K9" t="inlineStr">
        <is>
          <t>priced as Pin, same size</t>
        </is>
      </c>
      <c r="L9" s="4">
        <f>IF(J9="","",D9*J9)</f>
        <v/>
      </c>
    </row>
    <row r="10">
      <c r="A10" s="8" t="inlineStr">
        <is>
          <t>4"</t>
        </is>
      </c>
      <c r="B10" s="8" t="inlineStr">
        <is>
          <t>Pin / TC / PPS</t>
        </is>
      </c>
      <c r="C10" s="8" t="n">
        <v>6</v>
      </c>
      <c r="D10" s="8" t="n">
        <v>5</v>
      </c>
      <c r="E10" s="8" t="n">
        <v>1</v>
      </c>
      <c r="F10" s="8" t="n">
        <v>4</v>
      </c>
      <c r="G10" s="8" t="n">
        <v>1</v>
      </c>
      <c r="H10" s="8" t="n">
        <v>1</v>
      </c>
      <c r="I10" s="8" t="n">
        <v>0</v>
      </c>
      <c r="J10" s="9" t="n">
        <v>59</v>
      </c>
      <c r="K10" s="8" t="inlineStr">
        <is>
          <t>pigs.xlsx</t>
        </is>
      </c>
      <c r="L10" s="9">
        <f>IF(J10="","",D10*J10)</f>
        <v/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  <c r="J11" s="4" t="n">
        <v>59</v>
      </c>
      <c r="K11" t="inlineStr">
        <is>
          <t>rounded up to 4.125" Pin (priced as Pin)</t>
        </is>
      </c>
      <c r="L11" s="4">
        <f>IF(J11="","",D11*J11)</f>
        <v/>
      </c>
    </row>
    <row r="12">
      <c r="A12" s="8" t="inlineStr">
        <is>
          <t>4.125"</t>
        </is>
      </c>
      <c r="B12" s="8" t="inlineStr">
        <is>
          <t>HR</t>
        </is>
      </c>
      <c r="C12" s="8" t="n">
        <v>5</v>
      </c>
      <c r="D12" s="8" t="n">
        <v>5</v>
      </c>
      <c r="E12" s="8" t="n">
        <v>0</v>
      </c>
      <c r="F12" s="8" t="n">
        <v>2</v>
      </c>
      <c r="G12" s="8" t="n">
        <v>3</v>
      </c>
      <c r="H12" s="8" t="n">
        <v>0</v>
      </c>
      <c r="I12" s="8" t="n">
        <v>0</v>
      </c>
      <c r="J12" s="9" t="n">
        <v>59</v>
      </c>
      <c r="K12" s="8" t="inlineStr">
        <is>
          <t>pigs.xlsx</t>
        </is>
      </c>
      <c r="L12" s="9">
        <f>IF(J12="","",D12*J12)</f>
        <v/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  <c r="J13" s="4" t="n">
        <v>59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4.25"</t>
        </is>
      </c>
      <c r="B14" s="8" t="inlineStr">
        <is>
          <t>Bolted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0</v>
      </c>
      <c r="H14" s="8" t="n">
        <v>0</v>
      </c>
      <c r="I14" s="8" t="n">
        <v>1</v>
      </c>
      <c r="J14" s="9" t="n">
        <v>64.90000000000001</v>
      </c>
      <c r="K14" s="8" t="inlineStr">
        <is>
          <t>priced as Pin, same size</t>
        </is>
      </c>
      <c r="L14" s="9">
        <f>IF(J14="","",D14*J14)</f>
        <v/>
      </c>
    </row>
    <row r="15">
      <c r="A15" t="inlineStr">
        <is>
          <t>4.25"</t>
        </is>
      </c>
      <c r="B15" t="inlineStr">
        <is>
          <t>Pin / TC / PPS</t>
        </is>
      </c>
      <c r="C15" t="n">
        <v>27</v>
      </c>
      <c r="D15" t="n">
        <v>15</v>
      </c>
      <c r="E15" t="n">
        <v>12</v>
      </c>
      <c r="F15" t="n">
        <v>12</v>
      </c>
      <c r="G15" t="n">
        <v>3</v>
      </c>
      <c r="H15" t="n">
        <v>12</v>
      </c>
      <c r="I15" t="n">
        <v>0</v>
      </c>
      <c r="J15" s="4" t="n">
        <v>64.90000000000001</v>
      </c>
      <c r="K15" t="inlineStr">
        <is>
          <t>pigs.xlsx</t>
        </is>
      </c>
      <c r="L15" s="4">
        <f>IF(J15="","",D15*J15)</f>
        <v/>
      </c>
    </row>
    <row r="16">
      <c r="A16" s="8" t="inlineStr">
        <is>
          <t>5.75"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0</v>
      </c>
      <c r="I16" s="8" t="n">
        <v>0</v>
      </c>
      <c r="J16" s="9" t="n">
        <v>118</v>
      </c>
      <c r="K16" s="8" t="inlineStr">
        <is>
          <t>rounded up to 6" Pin (priced as Pin)</t>
        </is>
      </c>
      <c r="L16" s="9">
        <f>IF(J16="","",D16*J16)</f>
        <v/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  <c r="J17" s="4" t="n">
        <v>118</v>
      </c>
      <c r="K17" t="inlineStr">
        <is>
          <t>rounded up to 6" Pin</t>
        </is>
      </c>
      <c r="L17" s="4">
        <f>IF(J17="","",D17*J17)</f>
        <v/>
      </c>
    </row>
    <row r="18">
      <c r="A18" s="8" t="inlineStr">
        <is>
          <t>5.8"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1</v>
      </c>
      <c r="G18" s="8" t="n">
        <v>0</v>
      </c>
      <c r="H18" s="8" t="n">
        <v>0</v>
      </c>
      <c r="I18" s="8" t="n">
        <v>0</v>
      </c>
      <c r="J18" s="9" t="n">
        <v>118</v>
      </c>
      <c r="K18" s="8" t="inlineStr">
        <is>
          <t>rounded up to 6" Pin</t>
        </is>
      </c>
      <c r="L18" s="9">
        <f>IF(J18="","",D18*J18)</f>
        <v/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49.6</v>
      </c>
      <c r="K19" t="inlineStr">
        <is>
          <t>pigs.xlsx (Gauge Foam rate)</t>
        </is>
      </c>
      <c r="L19" s="4">
        <f>IF(J19="","",D19*J19)</f>
        <v/>
      </c>
    </row>
    <row r="20">
      <c r="A20" s="8" t="inlineStr">
        <is>
          <t>6"</t>
        </is>
      </c>
      <c r="B20" s="8" t="inlineStr">
        <is>
          <t>Gauge foam</t>
        </is>
      </c>
      <c r="C20" s="8" t="n">
        <v>2</v>
      </c>
      <c r="D20" s="8" t="n">
        <v>1</v>
      </c>
      <c r="E20" s="8" t="n">
        <v>1</v>
      </c>
      <c r="F20" s="8" t="n">
        <v>0</v>
      </c>
      <c r="G20" s="8" t="n">
        <v>1</v>
      </c>
      <c r="H20" s="8" t="n">
        <v>1</v>
      </c>
      <c r="I20" s="8" t="n">
        <v>0</v>
      </c>
      <c r="J20" s="9" t="n">
        <v>49.6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  <c r="J21" s="4" t="n">
        <v>118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6"</t>
        </is>
      </c>
      <c r="B22" s="8" t="inlineStr">
        <is>
          <t>Pin / TC / PPS</t>
        </is>
      </c>
      <c r="C22" s="8" t="n">
        <v>19</v>
      </c>
      <c r="D22" s="8" t="n">
        <v>9</v>
      </c>
      <c r="E22" s="8" t="n">
        <v>10</v>
      </c>
      <c r="F22" s="8" t="n">
        <v>4</v>
      </c>
      <c r="G22" s="8" t="n">
        <v>5</v>
      </c>
      <c r="H22" s="8" t="n">
        <v>10</v>
      </c>
      <c r="I22" s="8" t="n">
        <v>0</v>
      </c>
      <c r="J22" s="9" t="n">
        <v>118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  <c r="J23" s="4" t="n">
        <v>129.8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6.25"</t>
        </is>
      </c>
      <c r="B24" s="8" t="inlineStr">
        <is>
          <t>Foam</t>
        </is>
      </c>
      <c r="C24" s="8" t="n">
        <v>1</v>
      </c>
      <c r="D24" s="8" t="n">
        <v>0</v>
      </c>
      <c r="E24" s="8" t="n">
        <v>1</v>
      </c>
      <c r="F24" s="8" t="n">
        <v>0</v>
      </c>
      <c r="G24" s="8" t="n">
        <v>0</v>
      </c>
      <c r="H24" s="8" t="n">
        <v>1</v>
      </c>
      <c r="I24" s="8" t="n">
        <v>0</v>
      </c>
      <c r="J24" s="9" t="n">
        <v>82.59999999999999</v>
      </c>
      <c r="K24" s="8" t="inlineStr">
        <is>
          <t>rounded up to 8" Gauge Foam</t>
        </is>
      </c>
      <c r="L24" s="9">
        <f>IF(J24="","",D24*J24)</f>
        <v/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  <c r="J25" s="4" t="n">
        <v>129.8</v>
      </c>
      <c r="K25" t="inlineStr">
        <is>
          <t>pigs.xlsx</t>
        </is>
      </c>
      <c r="L25" s="4">
        <f>IF(J25="","",D25*J25)</f>
        <v/>
      </c>
    </row>
    <row r="26">
      <c r="A26" s="8" t="inlineStr">
        <is>
          <t>8"</t>
        </is>
      </c>
      <c r="B26" s="8" t="inlineStr">
        <is>
          <t>HR</t>
        </is>
      </c>
      <c r="C26" s="8" t="n">
        <v>1</v>
      </c>
      <c r="D26" s="8" t="n">
        <v>1</v>
      </c>
      <c r="E26" s="8" t="n">
        <v>0</v>
      </c>
      <c r="F26" s="8" t="n">
        <v>1</v>
      </c>
      <c r="G26" s="8" t="n">
        <v>0</v>
      </c>
      <c r="H26" s="8" t="n">
        <v>0</v>
      </c>
      <c r="I26" s="8" t="n">
        <v>0</v>
      </c>
      <c r="J26" s="9" t="n">
        <v>230.1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  <c r="J27" s="4" t="n">
        <v>16.1</v>
      </c>
      <c r="K27" t="inlineStr">
        <is>
          <t>rounded up to 8.5" Swab</t>
        </is>
      </c>
      <c r="L27" s="4">
        <f>IF(J27="","",D27*J27)</f>
        <v/>
      </c>
    </row>
    <row r="28">
      <c r="A28" s="8" t="inlineStr">
        <is>
          <t>8.25"</t>
        </is>
      </c>
      <c r="B28" s="8" t="inlineStr">
        <is>
          <t>Bolted</t>
        </is>
      </c>
      <c r="C28" s="8" t="n">
        <v>1</v>
      </c>
      <c r="D28" s="8" t="n">
        <v>0</v>
      </c>
      <c r="E28" s="8" t="n">
        <v>1</v>
      </c>
      <c r="F28" s="8" t="n">
        <v>0</v>
      </c>
      <c r="G28" s="8" t="n">
        <v>0</v>
      </c>
      <c r="H28" s="8" t="n">
        <v>0</v>
      </c>
      <c r="I28" s="8" t="n">
        <v>1</v>
      </c>
      <c r="J28" s="9" t="n">
        <v>247.8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  <c r="J29" s="4" t="n">
        <v>247.8</v>
      </c>
      <c r="K29" t="inlineStr">
        <is>
          <t>pigs.xlsx</t>
        </is>
      </c>
      <c r="L29" s="4">
        <f>IF(J29="","",D29*J29)</f>
        <v/>
      </c>
    </row>
    <row r="30">
      <c r="A30" s="8" t="inlineStr">
        <is>
          <t>10"</t>
        </is>
      </c>
      <c r="B30" s="8" t="inlineStr">
        <is>
          <t>HR</t>
        </is>
      </c>
      <c r="C30" s="8" t="n">
        <v>6</v>
      </c>
      <c r="D30" s="8" t="n">
        <v>2</v>
      </c>
      <c r="E30" s="8" t="n">
        <v>4</v>
      </c>
      <c r="F30" s="8" t="n">
        <v>1</v>
      </c>
      <c r="G30" s="8" t="n">
        <v>1</v>
      </c>
      <c r="H30" s="8" t="n">
        <v>4</v>
      </c>
      <c r="I30" s="8" t="n">
        <v>0</v>
      </c>
      <c r="J30" s="9" t="n">
        <v>483.8</v>
      </c>
      <c r="K30" s="8" t="inlineStr">
        <is>
          <t>priced as Pin, same size</t>
        </is>
      </c>
      <c r="L30" s="9">
        <f>IF(J30="","",D30*J30)</f>
        <v/>
      </c>
    </row>
    <row r="31">
      <c r="A31" t="inlineStr">
        <is>
          <t>10"</t>
        </is>
      </c>
      <c r="B31" t="inlineStr">
        <is>
          <t>Pin / TC / PPS</t>
        </is>
      </c>
      <c r="C31" t="n">
        <v>4</v>
      </c>
      <c r="D31" t="n">
        <v>1</v>
      </c>
      <c r="E31" t="n">
        <v>3</v>
      </c>
      <c r="F31" t="n">
        <v>1</v>
      </c>
      <c r="G31" t="n">
        <v>0</v>
      </c>
      <c r="H31" t="n">
        <v>3</v>
      </c>
      <c r="I31" t="n">
        <v>0</v>
      </c>
      <c r="J31" s="4" t="n">
        <v>483.8</v>
      </c>
      <c r="K31" t="inlineStr">
        <is>
          <t>pigs.xlsx</t>
        </is>
      </c>
      <c r="L31" s="4">
        <f>IF(J31="","",D31*J31)</f>
        <v/>
      </c>
    </row>
    <row r="32">
      <c r="A32" s="8" t="inlineStr">
        <is>
          <t>10"</t>
        </is>
      </c>
      <c r="B32" s="8" t="inlineStr">
        <is>
          <t>Swab</t>
        </is>
      </c>
      <c r="C32" s="8" t="n">
        <v>4</v>
      </c>
      <c r="D32" s="8" t="n">
        <v>4</v>
      </c>
      <c r="E32" s="8" t="n">
        <v>0</v>
      </c>
      <c r="F32" s="8" t="n">
        <v>0</v>
      </c>
      <c r="G32" s="8" t="n">
        <v>4</v>
      </c>
      <c r="H32" s="8" t="n">
        <v>0</v>
      </c>
      <c r="I32" s="8" t="n">
        <v>0</v>
      </c>
      <c r="J32" s="9" t="n">
        <v>26.5</v>
      </c>
      <c r="K32" s="8" t="inlineStr">
        <is>
          <t>pigs.xlsx</t>
        </is>
      </c>
      <c r="L32" s="9">
        <f>IF(J32="","",D32*J32)</f>
        <v/>
      </c>
    </row>
    <row r="33">
      <c r="A33" t="inlineStr">
        <is>
          <t>10.25"</t>
        </is>
      </c>
      <c r="B33" t="inlineStr">
        <is>
          <t>Pin / TC / PPS</t>
        </is>
      </c>
      <c r="C33" t="n">
        <v>1</v>
      </c>
      <c r="D33" t="n">
        <v>0</v>
      </c>
      <c r="E33" t="n">
        <v>1</v>
      </c>
      <c r="F33" t="n">
        <v>0</v>
      </c>
      <c r="G33" t="n">
        <v>0</v>
      </c>
      <c r="H33" t="n">
        <v>1</v>
      </c>
      <c r="I33" t="n">
        <v>0</v>
      </c>
      <c r="J33" s="4" t="n">
        <v>826</v>
      </c>
      <c r="K33" t="inlineStr">
        <is>
          <t>rounded up to 12" Pin</t>
        </is>
      </c>
      <c r="L33" s="4">
        <f>IF(J33="","",D33*J33)</f>
        <v/>
      </c>
    </row>
    <row r="34">
      <c r="A34" s="8" t="inlineStr">
        <is>
          <t>12"</t>
        </is>
      </c>
      <c r="B34" s="8" t="inlineStr">
        <is>
          <t>HR</t>
        </is>
      </c>
      <c r="C34" s="8" t="n">
        <v>5</v>
      </c>
      <c r="D34" s="8" t="n">
        <v>1</v>
      </c>
      <c r="E34" s="8" t="n">
        <v>4</v>
      </c>
      <c r="F34" s="8" t="n">
        <v>1</v>
      </c>
      <c r="G34" s="8" t="n">
        <v>0</v>
      </c>
      <c r="H34" s="8" t="n">
        <v>4</v>
      </c>
      <c r="I34" s="8" t="n">
        <v>0</v>
      </c>
      <c r="J34" s="9" t="n">
        <v>826</v>
      </c>
      <c r="K34" s="8" t="inlineStr">
        <is>
          <t>priced as Pin, same size</t>
        </is>
      </c>
      <c r="L34" s="9">
        <f>IF(J34="","",D34*J34)</f>
        <v/>
      </c>
    </row>
    <row r="35">
      <c r="A35" t="inlineStr">
        <is>
          <t>12"</t>
        </is>
      </c>
      <c r="B35" t="inlineStr">
        <is>
          <t>Pin / TC / PPS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  <c r="J35" s="4" t="n">
        <v>826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12.25"</t>
        </is>
      </c>
      <c r="B36" s="8" t="inlineStr">
        <is>
          <t>Pin / TC / PPS</t>
        </is>
      </c>
      <c r="C36" s="8" t="n">
        <v>1</v>
      </c>
      <c r="D36" s="8" t="n">
        <v>1</v>
      </c>
      <c r="E36" s="8" t="n">
        <v>0</v>
      </c>
      <c r="F36" s="8" t="n">
        <v>1</v>
      </c>
      <c r="G36" s="8" t="n">
        <v>0</v>
      </c>
      <c r="H36" s="8" t="n">
        <v>0</v>
      </c>
      <c r="I36" s="8" t="n">
        <v>0</v>
      </c>
      <c r="J36" s="9" t="n"/>
      <c r="K36" s="8" t="inlineStr">
        <is>
          <t>no rate (above the largest listed pin)</t>
        </is>
      </c>
      <c r="L36" s="9">
        <f>IF(J36="","",D36*J36)</f>
        <v/>
      </c>
    </row>
    <row r="37">
      <c r="A37" t="inlineStr">
        <is>
          <t>size not legible</t>
        </is>
      </c>
      <c r="B37" t="inlineStr">
        <is>
          <t>Pin / TC / PPS</t>
        </is>
      </c>
      <c r="C37" t="n">
        <v>2</v>
      </c>
      <c r="D37" t="n">
        <v>1</v>
      </c>
      <c r="E37" t="n">
        <v>1</v>
      </c>
      <c r="F37" t="n">
        <v>1</v>
      </c>
      <c r="G37" t="n">
        <v>0</v>
      </c>
      <c r="H37" t="n">
        <v>1</v>
      </c>
      <c r="I37" t="n">
        <v>0</v>
      </c>
      <c r="J37" s="4" t="n"/>
      <c r="K37" t="inlineStr">
        <is>
          <t>no rate (size not legible)</t>
        </is>
      </c>
      <c r="L37" s="4">
        <f>IF(J37="","",D37*J37)</f>
        <v/>
      </c>
    </row>
    <row r="38">
      <c r="A38" s="8" t="inlineStr">
        <is>
          <t>size not legible</t>
        </is>
      </c>
      <c r="B38" s="8" t="inlineStr">
        <is>
          <t>Swab</t>
        </is>
      </c>
      <c r="C38" s="8" t="n">
        <v>1</v>
      </c>
      <c r="D38" s="8" t="n">
        <v>1</v>
      </c>
      <c r="E38" s="8" t="n">
        <v>0</v>
      </c>
      <c r="F38" s="8" t="n">
        <v>0</v>
      </c>
      <c r="G38" s="8" t="n">
        <v>1</v>
      </c>
      <c r="H38" s="8" t="n">
        <v>0</v>
      </c>
      <c r="I38" s="8" t="n">
        <v>0</v>
      </c>
      <c r="J38" s="9" t="n"/>
      <c r="K38" s="8" t="inlineStr">
        <is>
          <t>no rate (size not legible)</t>
        </is>
      </c>
      <c r="L38" s="9">
        <f>IF(J38="","",D38*J38)</f>
        <v/>
      </c>
    </row>
    <row r="39">
      <c r="A39" s="5" t="inlineStr">
        <is>
          <t>TOTAL</t>
        </is>
      </c>
      <c r="B39" s="5" t="inlineStr"/>
      <c r="C39" s="5">
        <f>SUM(C3:C38)</f>
        <v/>
      </c>
      <c r="D39" s="5">
        <f>SUM(D3:D38)</f>
        <v/>
      </c>
      <c r="E39" s="5">
        <f>SUM(E3:E38)</f>
        <v/>
      </c>
      <c r="F39" s="5">
        <f>SUM(F3:F38)</f>
        <v/>
      </c>
      <c r="G39" s="5">
        <f>SUM(G3:G38)</f>
        <v/>
      </c>
      <c r="H39" s="5">
        <f>SUM(H3:H38)</f>
        <v/>
      </c>
      <c r="I39" s="5">
        <f>SUM(I3:I38)</f>
        <v/>
      </c>
      <c r="J39" s="5" t="inlineStr"/>
      <c r="K39" s="5" t="inlineStr"/>
      <c r="L39" s="6">
        <f>SUM(L3:L38)</f>
        <v/>
      </c>
    </row>
    <row r="40">
      <c r="A40" t="inlineStr">
        <is>
          <t>New pigs with no rate</t>
        </is>
      </c>
      <c r="B40" t="inlineStr"/>
      <c r="C40" t="inlineStr"/>
      <c r="D40">
        <f>SUMIF(J3:J38,"",D3:D38)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5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3.3"</t>
        </is>
      </c>
      <c r="F3" t="inlineStr">
        <is>
          <t>Pin / TC / PPS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3.3"</t>
        </is>
      </c>
      <c r="F4" t="inlineStr">
        <is>
          <t>Pin / TC / PPS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3.3"</t>
        </is>
      </c>
      <c r="F5" t="inlineStr">
        <is>
          <t>HR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3.3"</t>
        </is>
      </c>
      <c r="F6" t="inlineStr">
        <is>
          <t>HR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3.3"</t>
        </is>
      </c>
      <c r="F8" t="inlineStr">
        <is>
          <t>HR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  <c r="K8" t="inlineStr"/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3.3"</t>
        </is>
      </c>
      <c r="F9" t="inlineStr">
        <is>
          <t>HR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  <c r="K9" t="inlineStr"/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3.3"</t>
        </is>
      </c>
      <c r="F11" t="inlineStr">
        <is>
          <t>HR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  <c r="K11" t="inlineStr"/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3.3"</t>
        </is>
      </c>
      <c r="F12" t="inlineStr">
        <is>
          <t>HR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  <c r="K12" t="inlineStr"/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3.3"</t>
        </is>
      </c>
      <c r="F13" t="inlineStr">
        <is>
          <t>Pin / TC / PPS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  <c r="K13" t="inlineStr"/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3.3"</t>
        </is>
      </c>
      <c r="F14" t="inlineStr">
        <is>
          <t>HR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  <c r="K14" t="inlineStr"/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3.3"</t>
        </is>
      </c>
      <c r="F15" t="inlineStr">
        <is>
          <t>HR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  <c r="K15" t="inlineStr"/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3.3"</t>
        </is>
      </c>
      <c r="F16" t="inlineStr">
        <is>
          <t>HR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  <c r="K16" t="inlineStr"/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3.3"</t>
        </is>
      </c>
      <c r="F17" t="inlineStr">
        <is>
          <t>HR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  <c r="K17" t="inlineStr"/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3.3"</t>
        </is>
      </c>
      <c r="F18" t="inlineStr">
        <is>
          <t>Pin / TC / PPS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  <c r="K18" t="inlineStr"/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3.3"</t>
        </is>
      </c>
      <c r="F19" t="inlineStr">
        <is>
          <t>HR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  <c r="K19" t="inlineStr"/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3.3"</t>
        </is>
      </c>
      <c r="F20" t="inlineStr">
        <is>
          <t>HR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  <c r="K20" t="inlineStr"/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3.3"</t>
        </is>
      </c>
      <c r="F21" t="inlineStr">
        <is>
          <t>HR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  <c r="K21" t="inlineStr"/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3.3"</t>
        </is>
      </c>
      <c r="F22" t="inlineStr">
        <is>
          <t>HR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3.3"</t>
        </is>
      </c>
      <c r="F23" t="inlineStr">
        <is>
          <t>HR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3.3"</t>
        </is>
      </c>
      <c r="F24" t="inlineStr">
        <is>
          <t>HR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  <c r="K24" t="inlineStr"/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  <c r="K26" t="inlineStr"/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  <c r="K28" t="inlineStr"/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  <c r="K33" t="inlineStr"/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  <c r="K34" t="inlineStr"/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  <c r="K35" t="inlineStr"/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  <c r="K36" t="inlineStr"/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  <c r="K37" t="inlineStr"/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  <c r="K39" t="inlineStr"/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  <c r="K40" t="inlineStr"/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  <c r="K41" t="inlineStr"/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  <c r="K43" t="inlineStr"/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  <c r="K45" t="inlineStr"/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3.3"</t>
        </is>
      </c>
      <c r="F46" t="inlineStr">
        <is>
          <t>Bolted</t>
        </is>
      </c>
      <c r="G46" t="inlineStr">
        <is>
          <t>3.3 bolted</t>
        </is>
      </c>
      <c r="H46" t="n">
        <v>1</v>
      </c>
      <c r="I46" t="inlineStr">
        <is>
          <t>Used</t>
        </is>
      </c>
      <c r="J46" t="inlineStr">
        <is>
          <t>bolted (rule)</t>
        </is>
      </c>
      <c r="K46" t="inlineStr"/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  <c r="K47" t="inlineStr"/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3.3"</t>
        </is>
      </c>
      <c r="F48" t="inlineStr">
        <is>
          <t>Bolted</t>
        </is>
      </c>
      <c r="G48" t="inlineStr">
        <is>
          <t>3.3 bolted</t>
        </is>
      </c>
      <c r="H48" t="n">
        <v>1</v>
      </c>
      <c r="I48" t="inlineStr">
        <is>
          <t>Used</t>
        </is>
      </c>
      <c r="J48" t="inlineStr">
        <is>
          <t>bolted (rule)</t>
        </is>
      </c>
      <c r="K48" t="inlineStr"/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  <c r="K49" t="inlineStr"/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3.3"</t>
        </is>
      </c>
      <c r="F50" t="inlineStr">
        <is>
          <t>Bolted</t>
        </is>
      </c>
      <c r="G50" t="inlineStr">
        <is>
          <t>3.3 bolted</t>
        </is>
      </c>
      <c r="H50" t="n">
        <v>1</v>
      </c>
      <c r="I50" t="inlineStr">
        <is>
          <t>Used</t>
        </is>
      </c>
      <c r="J50" t="inlineStr">
        <is>
          <t>bolted (rule)</t>
        </is>
      </c>
      <c r="K50" t="inlineStr"/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  <c r="K52" t="inlineStr"/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  <c r="K53" t="inlineStr"/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size not legible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3.3"</t>
        </is>
      </c>
      <c r="F58" t="inlineStr">
        <is>
          <t>Other / unclear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3.3"</t>
        </is>
      </c>
      <c r="F59" t="inlineStr">
        <is>
          <t>Other / unclear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3.3"</t>
        </is>
      </c>
      <c r="F60" t="inlineStr">
        <is>
          <t>Other / unclear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3.3"</t>
        </is>
      </c>
      <c r="F61" t="inlineStr">
        <is>
          <t>Other / unclear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  <c r="K63" t="inlineStr"/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  <c r="K66" t="inlineStr"/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  <c r="K70" t="inlineStr"/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  <c r="K73" t="inlineStr"/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  <c r="K76" t="inlineStr"/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  <c r="K78" t="inlineStr"/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  <c r="K79" t="inlineStr"/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  <c r="K82" t="inlineStr"/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  <c r="K83" t="inlineStr"/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  <c r="K84" t="inlineStr"/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  <c r="K85" t="inlineStr"/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  <c r="K91" t="inlineStr"/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  <c r="K95" t="inlineStr"/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  <c r="K96" t="inlineStr"/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  <c r="K103" t="inlineStr"/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  <c r="K111" t="inlineStr"/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  <c r="K114" t="inlineStr"/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  <c r="K116" t="inlineStr"/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  <c r="K120" t="inlineStr"/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  <c r="K121" t="inlineStr"/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  <c r="K122" t="inlineStr"/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  <c r="K123" t="inlineStr"/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  <c r="K124" t="inlineStr"/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  <c r="K125" t="inlineStr"/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  <c r="K131" t="inlineStr"/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  <c r="K135" t="inlineStr"/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  <c r="K137" t="inlineStr"/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  <c r="K139" t="inlineStr"/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  <c r="K141" t="inlineStr"/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  <c r="K146" t="inlineStr"/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  <c r="K151" t="inlineStr"/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  <c r="K163" t="inlineStr"/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  <c r="K166" t="inlineStr"/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  <c r="K167" t="inlineStr"/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  <c r="K172" t="inlineStr"/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  <c r="K179" t="inlineStr"/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  <c r="K180" t="inlineStr"/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  <c r="K181" t="inlineStr"/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  <c r="K182" t="inlineStr"/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  <c r="K190" t="inlineStr"/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  <c r="K192" t="inlineStr"/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  <c r="K194" t="inlineStr"/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  <c r="K195" t="inlineStr"/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  <c r="K197" t="inlineStr"/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  <c r="K199" t="inlineStr"/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size not legible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  <c r="K207" t="inlineStr"/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  <c r="K208" t="inlineStr"/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  <c r="K223" t="inlineStr"/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  <c r="K225" t="inlineStr"/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  <c r="K227" t="inlineStr"/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  <c r="K229" t="inlineStr"/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  <c r="K246" t="inlineStr"/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  <c r="K247" t="inlineStr"/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  <c r="K248" t="inlineStr"/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  <c r="K256" t="inlineStr"/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  <c r="K257" t="inlineStr"/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  <c r="K258" t="inlineStr"/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D289" t="inlineStr"/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  <c r="K290" t="inlineStr"/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  <c r="K294" t="inlineStr"/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  <c r="K298" t="inlineStr"/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  <c r="K299" t="inlineStr"/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  <c r="K303" t="inlineStr"/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  <c r="K304" t="inlineStr"/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  <c r="K305" t="inlineStr"/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  <c r="K306" t="inlineStr"/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  <c r="K307" t="inlineStr"/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  <c r="K308" t="inlineStr"/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  <c r="K310" t="inlineStr"/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  <c r="K319" t="inlineStr"/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  <c r="K322" t="inlineStr"/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  <c r="K333" t="inlineStr"/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size not legible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  <c r="K436" t="inlineStr"/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  <c r="K437" t="inlineStr"/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  <c r="K438" t="inlineStr"/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  <c r="K439" t="inlineStr"/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  <c r="K440" t="inlineStr"/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  <c r="K443" t="inlineStr"/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  <c r="K444" t="inlineStr"/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  <c r="K446" t="inlineStr"/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  <c r="K448" t="inlineStr"/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  <c r="K451" t="inlineStr"/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  <c r="K452" t="inlineStr"/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  <c r="K453" t="inlineStr"/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  <c r="K455" t="inlineStr"/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  <c r="K457" t="inlineStr"/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  <c r="K459" t="inlineStr"/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  <c r="K461" t="inlineStr"/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  <c r="K464" t="inlineStr"/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  <c r="K466" t="inlineStr"/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  <c r="K470" t="inlineStr"/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  <c r="K472" t="inlineStr"/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  <c r="K473" t="inlineStr"/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  <c r="K474" t="inlineStr"/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  <c r="K475" t="inlineStr"/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  <c r="K476" t="inlineStr"/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size not legible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size not legible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D480" t="inlineStr"/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  <c r="K481" t="inlineStr"/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  <c r="K488" t="inlineStr"/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  <c r="K489" t="inlineStr"/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  <c r="K499" t="inlineStr"/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  <c r="K501" t="inlineStr"/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  <c r="K502" t="inlineStr"/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  <c r="K506" t="inlineStr"/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  <c r="K507" t="inlineStr"/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  <c r="K511" t="inlineStr"/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  <c r="K516" t="inlineStr"/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  <c r="K520" t="inlineStr"/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  <c r="K521" t="inlineStr"/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  <c r="K524" t="inlineStr"/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  <c r="K525" t="inlineStr"/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  <c r="K526" t="inlineStr"/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  <c r="K527" t="inlineStr"/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  <c r="K528" t="inlineStr"/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  <c r="K529" t="inlineStr"/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  <c r="K531" t="inlineStr"/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  <c r="K533" t="inlineStr"/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  <c r="K534" t="inlineStr"/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  <c r="K535" t="inlineStr"/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  <c r="K536" t="inlineStr"/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  <c r="K537" t="inlineStr"/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  <c r="K538" t="inlineStr"/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  <c r="K539" t="inlineStr"/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  <c r="K540" t="inlineStr"/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  <c r="K542" t="inlineStr"/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  <c r="K545" t="inlineStr"/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  <c r="K546" t="inlineStr"/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  <c r="K547" t="inlineStr"/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  <c r="K548" t="inlineStr"/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  <c r="K553" t="inlineStr"/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  <c r="K554" t="inlineStr"/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  <c r="K555" t="inlineStr"/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  <c r="K556" t="inlineStr"/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  <c r="K557" t="inlineStr"/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  <c r="K559" t="inlineStr"/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  <c r="K561" t="inlineStr"/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  <c r="K562" t="inlineStr"/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  <c r="K569" t="inlineStr"/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  <c r="K570" t="inlineStr"/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  <c r="K571" t="inlineStr"/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  <c r="K572" t="inlineStr"/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  <c r="K573" t="inlineStr"/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  <c r="K575" t="inlineStr"/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  <c r="K576" t="inlineStr"/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  <c r="K577" t="inlineStr"/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  <c r="K578" t="inlineStr"/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  <c r="K580" t="inlineStr"/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  <c r="K581" t="inlineStr"/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size not legible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5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3" t="inlineStr">
        <is>
          <t>Qty x unit price</t>
        </is>
      </c>
      <c r="F2" s="3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10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10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10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10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10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10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10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10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10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10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10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10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10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10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10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10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10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10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10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10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10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10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10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10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10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10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10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10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10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10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10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10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10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10">
        <f>D36/E36</f>
        <v/>
      </c>
    </row>
    <row r="37">
      <c r="A37" s="5" t="inlineStr">
        <is>
          <t>Subtotal</t>
        </is>
      </c>
      <c r="B37" s="5">
        <f>SUM(B3:B36)</f>
        <v/>
      </c>
      <c r="C37" s="5" t="n"/>
      <c r="D37" s="5">
        <f>SUM(D3:D36)</f>
        <v/>
      </c>
      <c r="E37" s="5">
        <f>SUM(E3:E36)</f>
        <v/>
      </c>
    </row>
    <row r="38">
      <c r="A38" s="5" t="inlineStr">
        <is>
          <t>7% markup</t>
        </is>
      </c>
      <c r="B38" s="5" t="n"/>
      <c r="C38" s="5" t="n"/>
      <c r="D38" s="5" t="n">
        <v>3845.89</v>
      </c>
    </row>
    <row r="39">
      <c r="A39" s="5" t="inlineStr">
        <is>
          <t>Total (invoice)</t>
        </is>
      </c>
      <c r="B39" s="5" t="n"/>
      <c r="C39" s="5" t="n"/>
      <c r="D39" s="5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5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5" t="inlineStr">
        <is>
          <t>Total</t>
        </is>
      </c>
      <c r="B109" s="5">
        <f>SUM(B3:B108)</f>
        <v/>
      </c>
      <c r="C109" s="5" t="n"/>
      <c r="D109" s="5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2026-10-02T18:05:16Z</dcterms:created>
  <dcterms:modified xmlns:dcterms="http://purl.org/dc/terms/" xmlns:xsi="http://www.w3.org/2001/XMLSchema-instance" xsi:type="dcterms:W3CDTF">2026-10-02T18:05:16Z</dcterms:modified>
</cp:coreProperties>
</file>