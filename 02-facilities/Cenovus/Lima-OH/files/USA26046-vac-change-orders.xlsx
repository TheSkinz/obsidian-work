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tand-by Detail" sheetId="2" state="visible" r:id="rId4"/>
    <sheet name="Vac Change Orders" sheetId="3" state="visible" r:id="rId5"/>
    <sheet name="Crude Smart P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<sst xmlns="http://schemas.openxmlformats.org/spreadsheetml/2006/main" count="111" uniqueCount="81">
  <si>
    <t xml:space="preserve">USA26046 Cenovus Lima — Vac Charge Furnace (PR-170029) change-order inputs</t>
  </si>
  <si>
    <t xml:space="preserve">Blue = input. Yellow = needs Cory's call before submission.</t>
  </si>
  <si>
    <t xml:space="preserve">Input</t>
  </si>
  <si>
    <t xml:space="preserve">Value</t>
  </si>
  <si>
    <t xml:space="preserve">Source</t>
  </si>
  <si>
    <t xml:space="preserve">Equipment rate ($/hr)</t>
  </si>
  <si>
    <t xml:space="preserve">Cory Walker 2026-10-12: $19,200 per 24 hrs / 24</t>
  </si>
  <si>
    <t xml:space="preserve">Personnel rate ($/hr)</t>
  </si>
  <si>
    <t xml:space="preserve">Cory Walker 2026-10-12: $2,525 per 12-hr shift / 12, rounded</t>
  </si>
  <si>
    <t xml:space="preserve">Per diem ($/shift)</t>
  </si>
  <si>
    <t xml:space="preserve">Cory Walker 2026-10-12</t>
  </si>
  <si>
    <t xml:space="preserve">Hours per shift</t>
  </si>
  <si>
    <t xml:space="preserve">Standard 12-hr shift</t>
  </si>
  <si>
    <t xml:space="preserve">Quoted hours for per-diem basis</t>
  </si>
  <si>
    <t xml:space="preserve">Cory Walker 2026-10-12 ('quoted 110 hours or 9.166 shifts'). DSP26013 quotes the Vac at 134 hrs — confirm which</t>
  </si>
  <si>
    <t xml:space="preserve">Alt. stand-by equipment rate ($/hr)</t>
  </si>
  <si>
    <t xml:space="preserve">DSP26013 rate sheet: pumper stand-by $400 + support $30 + press $245 + truck $25</t>
  </si>
  <si>
    <t xml:space="preserve">Combined hourly ($/hr)</t>
  </si>
  <si>
    <t xml:space="preserve">Equipment + personnel</t>
  </si>
  <si>
    <t xml:space="preserve">Vac stand-by by service receipt (all booked as plant down time)</t>
  </si>
  <si>
    <t xml:space="preserve">Receipt</t>
  </si>
  <si>
    <t xml:space="preserve">Shift</t>
  </si>
  <si>
    <t xml:space="preserve">Stand-by hrs</t>
  </si>
  <si>
    <t xml:space="preserve">Cause (from the receipt)</t>
  </si>
  <si>
    <t xml:space="preserve">7077</t>
  </si>
  <si>
    <t xml:space="preserve">Night 2026-09-19</t>
  </si>
  <si>
    <t xml:space="preserve">Plant down time waiting on Trimax 6 to be spotted in the unit (spotted 18:00)</t>
  </si>
  <si>
    <t xml:space="preserve">7078</t>
  </si>
  <si>
    <t xml:space="preserve">Day 2026-09-20</t>
  </si>
  <si>
    <t xml:space="preserve">12" radiant-outlet launchers not yet installed by plant</t>
  </si>
  <si>
    <t xml:space="preserve">7079</t>
  </si>
  <si>
    <t xml:space="preserve">Night 2026-09-20</t>
  </si>
  <si>
    <t xml:space="preserve">12" radiant-outlet launchers still outstanding</t>
  </si>
  <si>
    <t xml:space="preserve">7080</t>
  </si>
  <si>
    <t xml:space="preserve">Day 2026-09-21</t>
  </si>
  <si>
    <t xml:space="preserve">Waiting for fitters to install the 12" launchers</t>
  </si>
  <si>
    <t xml:space="preserve">7081</t>
  </si>
  <si>
    <t xml:space="preserve">Night 2026-09-21</t>
  </si>
  <si>
    <t xml:space="preserve">Waiting on the same 12" launchers (installed 02:00)</t>
  </si>
  <si>
    <t xml:space="preserve">7091</t>
  </si>
  <si>
    <t xml:space="preserve">Night 2026-09-26</t>
  </si>
  <si>
    <t xml:space="preserve">Waiting for fitters to move the 12" launchers to passes 5, 7, 8</t>
  </si>
  <si>
    <t xml:space="preserve">Total</t>
  </si>
  <si>
    <t xml:space="preserve">Source: PR-170029 Field Notes, receipts 7077-7081, 7091</t>
  </si>
  <si>
    <t xml:space="preserve">Vac Charge Furnace (PR-170029) — change orders and quote comparison</t>
  </si>
  <si>
    <t xml:space="preserve">Task</t>
  </si>
  <si>
    <t xml:space="preserve">Quoted hrs</t>
  </si>
  <si>
    <t xml:space="preserve">Actual hrs</t>
  </si>
  <si>
    <t xml:space="preserve">Variance hrs</t>
  </si>
  <si>
    <t xml:space="preserve">Rig-in</t>
  </si>
  <si>
    <t xml:space="preserve">Quoted: DSP26013 Vac line (134 hrs). Actual: receipts 7077-7100, PR-170029 Final Hours.</t>
  </si>
  <si>
    <t xml:space="preserve">Pig (decoke)</t>
  </si>
  <si>
    <t xml:space="preserve">Smart pig</t>
  </si>
  <si>
    <t xml:space="preserve">Rig-over</t>
  </si>
  <si>
    <t xml:space="preserve">Rig-out</t>
  </si>
  <si>
    <t xml:space="preserve">Stand-by</t>
  </si>
  <si>
    <t xml:space="preserve">Line</t>
  </si>
  <si>
    <t xml:space="preserve">Hours</t>
  </si>
  <si>
    <t xml:space="preserve">Equipment</t>
  </si>
  <si>
    <t xml:space="preserve">Personnel</t>
  </si>
  <si>
    <t xml:space="preserve">Per diem</t>
  </si>
  <si>
    <t xml:space="preserve">CO-1 Stand-by (plant-caused)</t>
  </si>
  <si>
    <t xml:space="preserve">Per diem allocated by the CO's own hours (hrs / 12 x $450)</t>
  </si>
  <si>
    <t xml:space="preserve">CO-2 Smart pigging over quote</t>
  </si>
  <si>
    <t xml:space="preserve">Change orders total</t>
  </si>
  <si>
    <t xml:space="preserve">Decoking time saved vs quote</t>
  </si>
  <si>
    <t xml:space="preserve">Pig (decoke) under quote</t>
  </si>
  <si>
    <t xml:space="preserve">Rig-over under quote</t>
  </si>
  <si>
    <t xml:space="preserve">Savings total</t>
  </si>
  <si>
    <t xml:space="preserve">Not covered by either CO</t>
  </si>
  <si>
    <t xml:space="preserve">Rig-in + rig-out over quote</t>
  </si>
  <si>
    <t xml:space="preserve">Inlet-piping/launcher delays and both filter presses cleaned at rig-out. Decide: price it, or leave it out.</t>
  </si>
  <si>
    <t xml:space="preserve">Checks and alternatives</t>
  </si>
  <si>
    <t xml:space="preserve">Productive hrs reconcile (quote + COs + uncovered − savings)</t>
  </si>
  <si>
    <t xml:space="preserve">CO-1 equipment at rate-sheet stand-by ($700/hr)</t>
  </si>
  <si>
    <t xml:space="preserve">difference vs $800 basis</t>
  </si>
  <si>
    <t xml:space="preserve">Per diem over quote, whole job (Cory's basis)</t>
  </si>
  <si>
    <t xml:space="preserve">Basis: (247.5 shift hrs − quoted hrs) / 12 x $450; use instead of the per-CO per diem, not as well as</t>
  </si>
  <si>
    <t xml:space="preserve">Crude Furnace (PR-170028) — quoted vs actual, smart pig breakout</t>
  </si>
  <si>
    <t xml:space="preserve">Smart pigging over quote</t>
  </si>
  <si>
    <t xml:space="preserve">Source: PR-170028 Task Durations (re-split by the receipt summaries' clock times). No receipt records stand-by or a delayed start on the Crude. No smart-pig vendor is named; third-party services written 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</si>
</sst>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#;\(0.0#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800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210.42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450</v>
      </c>
      <c r="C7" s="4" t="s">
        <v>10</v>
      </c>
    </row>
    <row r="8" customFormat="false" ht="15" hidden="false" customHeight="false" outlineLevel="0" collapsed="false">
      <c r="A8" s="4" t="s">
        <v>11</v>
      </c>
      <c r="B8" s="6" t="n">
        <v>12</v>
      </c>
      <c r="C8" s="4" t="s">
        <v>12</v>
      </c>
    </row>
    <row r="9" customFormat="false" ht="15" hidden="false" customHeight="false" outlineLevel="0" collapsed="false">
      <c r="A9" s="4" t="s">
        <v>13</v>
      </c>
      <c r="B9" s="7" t="n">
        <v>110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8" t="n">
        <v>700</v>
      </c>
      <c r="C10" s="4" t="s">
        <v>16</v>
      </c>
    </row>
    <row r="11" customFormat="false" ht="15" hidden="false" customHeight="false" outlineLevel="0" collapsed="false">
      <c r="A11" s="9" t="s">
        <v>17</v>
      </c>
      <c r="B11" s="10" t="n">
        <f aca="false">B5+B6</f>
        <v>1010.42</v>
      </c>
      <c r="C1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19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</row>
    <row r="4" customFormat="false" ht="15" hidden="false" customHeight="false" outlineLevel="0" collapsed="false">
      <c r="A4" s="4" t="s">
        <v>24</v>
      </c>
      <c r="B4" s="4" t="s">
        <v>25</v>
      </c>
      <c r="C4" s="6" t="n">
        <v>7</v>
      </c>
      <c r="D4" s="4" t="s">
        <v>26</v>
      </c>
    </row>
    <row r="5" customFormat="false" ht="15" hidden="false" customHeight="false" outlineLevel="0" collapsed="false">
      <c r="A5" s="4" t="s">
        <v>27</v>
      </c>
      <c r="B5" s="4" t="s">
        <v>28</v>
      </c>
      <c r="C5" s="6" t="n">
        <v>12</v>
      </c>
      <c r="D5" s="4" t="s">
        <v>29</v>
      </c>
    </row>
    <row r="6" customFormat="false" ht="15" hidden="false" customHeight="false" outlineLevel="0" collapsed="false">
      <c r="A6" s="4" t="s">
        <v>30</v>
      </c>
      <c r="B6" s="4" t="s">
        <v>31</v>
      </c>
      <c r="C6" s="6" t="n">
        <v>10</v>
      </c>
      <c r="D6" s="4" t="s">
        <v>32</v>
      </c>
    </row>
    <row r="7" customFormat="false" ht="15" hidden="false" customHeight="false" outlineLevel="0" collapsed="false">
      <c r="A7" s="4" t="s">
        <v>33</v>
      </c>
      <c r="B7" s="4" t="s">
        <v>34</v>
      </c>
      <c r="C7" s="6" t="n">
        <v>12</v>
      </c>
      <c r="D7" s="4" t="s">
        <v>35</v>
      </c>
    </row>
    <row r="8" customFormat="false" ht="15" hidden="false" customHeight="false" outlineLevel="0" collapsed="false">
      <c r="A8" s="4" t="s">
        <v>36</v>
      </c>
      <c r="B8" s="4" t="s">
        <v>37</v>
      </c>
      <c r="C8" s="6" t="n">
        <v>8</v>
      </c>
      <c r="D8" s="4" t="s">
        <v>38</v>
      </c>
    </row>
    <row r="9" customFormat="false" ht="15" hidden="false" customHeight="false" outlineLevel="0" collapsed="false">
      <c r="A9" s="4" t="s">
        <v>39</v>
      </c>
      <c r="B9" s="4" t="s">
        <v>40</v>
      </c>
      <c r="C9" s="6" t="n">
        <v>3</v>
      </c>
      <c r="D9" s="4" t="s">
        <v>41</v>
      </c>
    </row>
    <row r="10" customFormat="false" ht="15" hidden="false" customHeight="false" outlineLevel="0" collapsed="false">
      <c r="A10" s="11" t="s">
        <v>42</v>
      </c>
      <c r="B10" s="12"/>
      <c r="C10" s="13" t="n">
        <f aca="false">SUM(C4:C9)</f>
        <v>52</v>
      </c>
      <c r="D10" s="1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44</v>
      </c>
    </row>
    <row r="3" customFormat="false" ht="15" hidden="false" customHeight="false" outlineLevel="0" collapsed="false">
      <c r="A3" s="3" t="s">
        <v>45</v>
      </c>
      <c r="B3" s="3" t="s">
        <v>46</v>
      </c>
      <c r="C3" s="3" t="s">
        <v>47</v>
      </c>
      <c r="D3" s="3" t="s">
        <v>48</v>
      </c>
    </row>
    <row r="4" customFormat="false" ht="15" hidden="false" customHeight="false" outlineLevel="0" collapsed="false">
      <c r="A4" s="4" t="s">
        <v>49</v>
      </c>
      <c r="B4" s="6" t="n">
        <v>6</v>
      </c>
      <c r="C4" s="6" t="n">
        <v>14</v>
      </c>
      <c r="D4" s="14" t="n">
        <f aca="false">C4-B4</f>
        <v>8</v>
      </c>
      <c r="E4" s="2" t="s">
        <v>50</v>
      </c>
    </row>
    <row r="5" customFormat="false" ht="15" hidden="false" customHeight="false" outlineLevel="0" collapsed="false">
      <c r="A5" s="4" t="s">
        <v>51</v>
      </c>
      <c r="B5" s="6" t="n">
        <v>66</v>
      </c>
      <c r="C5" s="6" t="n">
        <v>63</v>
      </c>
      <c r="D5" s="14" t="n">
        <f aca="false">C5-B5</f>
        <v>-3</v>
      </c>
    </row>
    <row r="6" customFormat="false" ht="15" hidden="false" customHeight="false" outlineLevel="0" collapsed="false">
      <c r="A6" s="4" t="s">
        <v>52</v>
      </c>
      <c r="B6" s="6" t="n">
        <v>38</v>
      </c>
      <c r="C6" s="6" t="n">
        <v>74</v>
      </c>
      <c r="D6" s="14" t="n">
        <f aca="false">C6-B6</f>
        <v>36</v>
      </c>
    </row>
    <row r="7" customFormat="false" ht="15" hidden="false" customHeight="false" outlineLevel="0" collapsed="false">
      <c r="A7" s="4" t="s">
        <v>53</v>
      </c>
      <c r="B7" s="6" t="n">
        <v>18</v>
      </c>
      <c r="C7" s="6" t="n">
        <v>8</v>
      </c>
      <c r="D7" s="14" t="n">
        <f aca="false">C7-B7</f>
        <v>-10</v>
      </c>
    </row>
    <row r="8" customFormat="false" ht="15" hidden="false" customHeight="false" outlineLevel="0" collapsed="false">
      <c r="A8" s="4" t="s">
        <v>54</v>
      </c>
      <c r="B8" s="6" t="n">
        <v>6</v>
      </c>
      <c r="C8" s="6" t="n">
        <v>36.5</v>
      </c>
      <c r="D8" s="14" t="n">
        <f aca="false">C8-B8</f>
        <v>30.5</v>
      </c>
    </row>
    <row r="9" customFormat="false" ht="15" hidden="false" customHeight="false" outlineLevel="0" collapsed="false">
      <c r="A9" s="4" t="s">
        <v>55</v>
      </c>
      <c r="B9" s="6" t="n">
        <v>0</v>
      </c>
      <c r="C9" s="15" t="n">
        <f aca="false">'Stand-by Detail'!C10</f>
        <v>52</v>
      </c>
      <c r="D9" s="14" t="n">
        <f aca="false">C9-B9</f>
        <v>52</v>
      </c>
    </row>
    <row r="10" customFormat="false" ht="15" hidden="false" customHeight="false" outlineLevel="0" collapsed="false">
      <c r="A10" s="11" t="s">
        <v>42</v>
      </c>
      <c r="B10" s="13" t="n">
        <f aca="false">SUM(B4:B9)</f>
        <v>134</v>
      </c>
      <c r="C10" s="13" t="n">
        <f aca="false">SUM(C4:C9)</f>
        <v>247.5</v>
      </c>
      <c r="D10" s="13" t="n">
        <f aca="false">SUM(D4:D9)</f>
        <v>113.5</v>
      </c>
    </row>
    <row r="12" customFormat="false" ht="15" hidden="false" customHeight="false" outlineLevel="0" collapsed="false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42</v>
      </c>
    </row>
    <row r="13" customFormat="false" ht="15" hidden="false" customHeight="false" outlineLevel="0" collapsed="false">
      <c r="A13" s="4" t="s">
        <v>61</v>
      </c>
      <c r="B13" s="14" t="n">
        <f aca="false">C9</f>
        <v>52</v>
      </c>
      <c r="C13" s="16" t="n">
        <f aca="false">B13*Inputs!$B$5</f>
        <v>41600</v>
      </c>
      <c r="D13" s="16" t="n">
        <f aca="false">B13*Inputs!$B$6</f>
        <v>10941.84</v>
      </c>
      <c r="E13" s="16" t="n">
        <f aca="false">B13/Inputs!$B$8*Inputs!$B$7</f>
        <v>1950</v>
      </c>
      <c r="F13" s="16" t="n">
        <f aca="false">SUM(C13:E13)</f>
        <v>54491.84</v>
      </c>
      <c r="G13" s="2" t="s">
        <v>62</v>
      </c>
    </row>
    <row r="14" customFormat="false" ht="15" hidden="false" customHeight="false" outlineLevel="0" collapsed="false">
      <c r="A14" s="4" t="s">
        <v>63</v>
      </c>
      <c r="B14" s="14" t="n">
        <f aca="false">D6</f>
        <v>36</v>
      </c>
      <c r="C14" s="16" t="n">
        <f aca="false">B14*Inputs!$B$5</f>
        <v>28800</v>
      </c>
      <c r="D14" s="16" t="n">
        <f aca="false">B14*Inputs!$B$6</f>
        <v>7575.12</v>
      </c>
      <c r="E14" s="16" t="n">
        <f aca="false">B14/Inputs!$B$8*Inputs!$B$7</f>
        <v>1350</v>
      </c>
      <c r="F14" s="16" t="n">
        <f aca="false">SUM(C14:E14)</f>
        <v>37725.12</v>
      </c>
    </row>
    <row r="15" customFormat="false" ht="15" hidden="false" customHeight="false" outlineLevel="0" collapsed="false">
      <c r="A15" s="11" t="s">
        <v>64</v>
      </c>
      <c r="B15" s="13" t="n">
        <f aca="false">SUM(B13:B14)</f>
        <v>88</v>
      </c>
      <c r="C15" s="17" t="n">
        <f aca="false">SUM(C13:C14)</f>
        <v>70400</v>
      </c>
      <c r="D15" s="17" t="n">
        <f aca="false">SUM(D13:D14)</f>
        <v>18516.96</v>
      </c>
      <c r="E15" s="17" t="n">
        <f aca="false">SUM(E13:E14)</f>
        <v>3300</v>
      </c>
      <c r="F15" s="17" t="n">
        <f aca="false">SUM(F13:F14)</f>
        <v>92216.96</v>
      </c>
    </row>
    <row r="17" customFormat="false" ht="15" hidden="false" customHeight="false" outlineLevel="0" collapsed="false">
      <c r="A17" s="3" t="s">
        <v>65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42</v>
      </c>
    </row>
    <row r="18" customFormat="false" ht="15" hidden="false" customHeight="false" outlineLevel="0" collapsed="false">
      <c r="A18" s="4" t="s">
        <v>66</v>
      </c>
      <c r="B18" s="14" t="n">
        <f aca="false">-D5</f>
        <v>3</v>
      </c>
      <c r="C18" s="16" t="n">
        <f aca="false">B18*Inputs!$B$5</f>
        <v>2400</v>
      </c>
      <c r="D18" s="16" t="n">
        <f aca="false">B18*Inputs!$B$6</f>
        <v>631.26</v>
      </c>
      <c r="E18" s="16" t="n">
        <f aca="false">B18/Inputs!$B$8*Inputs!$B$7</f>
        <v>112.5</v>
      </c>
      <c r="F18" s="16" t="n">
        <f aca="false">SUM(C18:E18)</f>
        <v>3143.76</v>
      </c>
    </row>
    <row r="19" customFormat="false" ht="15" hidden="false" customHeight="false" outlineLevel="0" collapsed="false">
      <c r="A19" s="4" t="s">
        <v>67</v>
      </c>
      <c r="B19" s="14" t="n">
        <f aca="false">-D7</f>
        <v>10</v>
      </c>
      <c r="C19" s="16" t="n">
        <f aca="false">B19*Inputs!$B$5</f>
        <v>8000</v>
      </c>
      <c r="D19" s="16" t="n">
        <f aca="false">B19*Inputs!$B$6</f>
        <v>2104.2</v>
      </c>
      <c r="E19" s="16" t="n">
        <f aca="false">B19/Inputs!$B$8*Inputs!$B$7</f>
        <v>375</v>
      </c>
      <c r="F19" s="16" t="n">
        <f aca="false">SUM(C19:E19)</f>
        <v>10479.2</v>
      </c>
    </row>
    <row r="20" customFormat="false" ht="15" hidden="false" customHeight="false" outlineLevel="0" collapsed="false">
      <c r="A20" s="11" t="s">
        <v>68</v>
      </c>
      <c r="B20" s="13" t="n">
        <f aca="false">SUM(B18:B19)</f>
        <v>13</v>
      </c>
      <c r="C20" s="17" t="n">
        <f aca="false">SUM(C18:C19)</f>
        <v>10400</v>
      </c>
      <c r="D20" s="17" t="n">
        <f aca="false">SUM(D18:D19)</f>
        <v>2735.46</v>
      </c>
      <c r="E20" s="17" t="n">
        <f aca="false">SUM(E18:E19)</f>
        <v>487.5</v>
      </c>
      <c r="F20" s="17" t="n">
        <f aca="false">SUM(F18:F19)</f>
        <v>13622.96</v>
      </c>
    </row>
    <row r="22" customFormat="false" ht="15" hidden="false" customHeight="false" outlineLevel="0" collapsed="false">
      <c r="A22" s="3" t="s">
        <v>69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42</v>
      </c>
    </row>
    <row r="23" customFormat="false" ht="15" hidden="false" customHeight="false" outlineLevel="0" collapsed="false">
      <c r="A23" s="18" t="s">
        <v>70</v>
      </c>
      <c r="B23" s="19" t="n">
        <f aca="false">D4+D8</f>
        <v>38.5</v>
      </c>
      <c r="C23" s="20" t="n">
        <f aca="false">B23*Inputs!$B$5</f>
        <v>30800</v>
      </c>
      <c r="D23" s="20" t="n">
        <f aca="false">B23*Inputs!$B$6</f>
        <v>8101.17</v>
      </c>
      <c r="E23" s="20" t="n">
        <f aca="false">B23/Inputs!$B$8*Inputs!$B$7</f>
        <v>1443.75</v>
      </c>
      <c r="F23" s="20" t="n">
        <f aca="false">SUM(C23:E23)</f>
        <v>40344.92</v>
      </c>
      <c r="G23" s="2" t="s">
        <v>71</v>
      </c>
    </row>
    <row r="25" customFormat="false" ht="15" hidden="false" customHeight="false" outlineLevel="0" collapsed="false">
      <c r="A25" s="3" t="s">
        <v>72</v>
      </c>
      <c r="B25" s="3" t="s">
        <v>3</v>
      </c>
      <c r="C25" s="3"/>
      <c r="D25" s="3"/>
      <c r="E25" s="3"/>
      <c r="F25" s="3"/>
    </row>
    <row r="26" customFormat="false" ht="15" hidden="false" customHeight="false" outlineLevel="0" collapsed="false">
      <c r="A26" s="4" t="s">
        <v>73</v>
      </c>
      <c r="B26" s="14" t="n">
        <f aca="false">B10-B9+D6+B23-B20</f>
        <v>195.5</v>
      </c>
      <c r="C26" s="4" t="str">
        <f aca="false">IF(ABS(B26-(C10-C9))&lt;0.01,"OK = actual productive","MISMATCH")</f>
        <v>OK = actual productive</v>
      </c>
    </row>
    <row r="27" customFormat="false" ht="15" hidden="false" customHeight="false" outlineLevel="0" collapsed="false">
      <c r="A27" s="4" t="s">
        <v>74</v>
      </c>
      <c r="B27" s="20" t="n">
        <f aca="false">C9*Inputs!$B$10</f>
        <v>36400</v>
      </c>
      <c r="C27" s="16" t="n">
        <f aca="false">C13-B27</f>
        <v>5200</v>
      </c>
      <c r="D27" s="4" t="s">
        <v>75</v>
      </c>
    </row>
    <row r="28" customFormat="false" ht="15" hidden="false" customHeight="false" outlineLevel="0" collapsed="false">
      <c r="A28" s="4" t="s">
        <v>76</v>
      </c>
      <c r="B28" s="20" t="n">
        <f aca="false">MAX(0,C10-Inputs!$B$9)/Inputs!$B$8*Inputs!$B$7</f>
        <v>5156.25</v>
      </c>
      <c r="C28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78</v>
      </c>
    </row>
    <row r="3" customFormat="false" ht="15" hidden="false" customHeight="false" outlineLevel="0" collapsed="false">
      <c r="A3" s="3" t="s">
        <v>45</v>
      </c>
      <c r="B3" s="3" t="s">
        <v>46</v>
      </c>
      <c r="C3" s="3" t="s">
        <v>47</v>
      </c>
      <c r="D3" s="3" t="s">
        <v>48</v>
      </c>
    </row>
    <row r="4" customFormat="false" ht="15" hidden="false" customHeight="false" outlineLevel="0" collapsed="false">
      <c r="A4" s="4" t="s">
        <v>49</v>
      </c>
      <c r="B4" s="6" t="n">
        <v>6</v>
      </c>
      <c r="C4" s="6" t="n">
        <v>12</v>
      </c>
      <c r="D4" s="14" t="n">
        <f aca="false">C4-B4</f>
        <v>6</v>
      </c>
    </row>
    <row r="5" customFormat="false" ht="15" hidden="false" customHeight="false" outlineLevel="0" collapsed="false">
      <c r="A5" s="4" t="s">
        <v>51</v>
      </c>
      <c r="B5" s="6" t="n">
        <v>90</v>
      </c>
      <c r="C5" s="6" t="n">
        <v>118</v>
      </c>
      <c r="D5" s="14" t="n">
        <f aca="false">C5-B5</f>
        <v>28</v>
      </c>
    </row>
    <row r="6" customFormat="false" ht="15" hidden="false" customHeight="false" outlineLevel="0" collapsed="false">
      <c r="A6" s="4" t="s">
        <v>52</v>
      </c>
      <c r="B6" s="6" t="n">
        <v>15</v>
      </c>
      <c r="C6" s="6" t="n">
        <v>38.25</v>
      </c>
      <c r="D6" s="14" t="n">
        <f aca="false">C6-B6</f>
        <v>23.25</v>
      </c>
    </row>
    <row r="7" customFormat="false" ht="15" hidden="false" customHeight="false" outlineLevel="0" collapsed="false">
      <c r="A7" s="4" t="s">
        <v>53</v>
      </c>
      <c r="B7" s="6" t="n">
        <v>20</v>
      </c>
      <c r="C7" s="6" t="n">
        <v>11.75</v>
      </c>
      <c r="D7" s="14" t="n">
        <f aca="false">C7-B7</f>
        <v>-8.25</v>
      </c>
    </row>
    <row r="8" customFormat="false" ht="15" hidden="false" customHeight="false" outlineLevel="0" collapsed="false">
      <c r="A8" s="4" t="s">
        <v>54</v>
      </c>
      <c r="B8" s="6" t="n">
        <v>6</v>
      </c>
      <c r="C8" s="6" t="n">
        <v>12</v>
      </c>
      <c r="D8" s="14" t="n">
        <f aca="false">C8-B8</f>
        <v>6</v>
      </c>
    </row>
    <row r="9" customFormat="false" ht="15" hidden="false" customHeight="false" outlineLevel="0" collapsed="false">
      <c r="A9" s="4" t="s">
        <v>55</v>
      </c>
      <c r="B9" s="6" t="n">
        <v>0</v>
      </c>
      <c r="C9" s="6" t="n">
        <v>0</v>
      </c>
      <c r="D9" s="14" t="n">
        <f aca="false">C9-B9</f>
        <v>0</v>
      </c>
    </row>
    <row r="10" customFormat="false" ht="15" hidden="false" customHeight="false" outlineLevel="0" collapsed="false">
      <c r="A10" s="11" t="s">
        <v>42</v>
      </c>
      <c r="B10" s="13" t="n">
        <f aca="false">SUM(B4:B9)</f>
        <v>137</v>
      </c>
      <c r="C10" s="13" t="n">
        <f aca="false">SUM(C4:C9)</f>
        <v>192</v>
      </c>
      <c r="D10" s="13" t="n">
        <f aca="false">SUM(D4:D9)</f>
        <v>55</v>
      </c>
    </row>
    <row r="12" customFormat="false" ht="15" hidden="false" customHeight="false" outlineLevel="0" collapsed="false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42</v>
      </c>
    </row>
    <row r="13" customFormat="false" ht="15" hidden="false" customHeight="false" outlineLevel="0" collapsed="false">
      <c r="A13" s="4" t="s">
        <v>79</v>
      </c>
      <c r="B13" s="14" t="n">
        <f aca="false">D6</f>
        <v>23.25</v>
      </c>
      <c r="C13" s="16" t="n">
        <f aca="false">B13*Inputs!$B$5</f>
        <v>18600</v>
      </c>
      <c r="D13" s="16" t="n">
        <f aca="false">B13*Inputs!$B$6</f>
        <v>4892.265</v>
      </c>
      <c r="E13" s="16" t="n">
        <f aca="false">B13/Inputs!$B$8*Inputs!$B$7</f>
        <v>871.875</v>
      </c>
      <c r="F13" s="10" t="n">
        <f aca="false">SUM(C13:E13)</f>
        <v>24364.14</v>
      </c>
    </row>
    <row r="15" customFormat="false" ht="15" hidden="false" customHeight="false" outlineLevel="0" collapsed="false">
      <c r="A15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2026-10-12T18:56:09Z</dcterms:created>
  <dc:creator>openpyxl</dc:creator>
  <dc:description/>
  <dc:language>en-US</dc:language>
  <cp:lastModifiedBy/>
  <dcterms:modified xsi:type="dcterms:W3CDTF">2026-10-12T18:56:09Z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